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Ca kiem thu Buoi 6" sheetId="5" state="visible" r:id="rId5"/>
    <sheet xmlns:r="http://schemas.openxmlformats.org/officeDocument/2006/relationships" name="Tong hop" sheetId="6" state="visible" r:id="rId6"/>
    <sheet xmlns:r="http://schemas.openxmlformats.org/officeDocument/2006/relationships" name="Kiem thu CSDL buoi 3" sheetId="7" state="visible" r:id="rId7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GET/POST /api/v1/nguoi-dung · GET /api/v1/nguoi-dung/{id}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GET /api/v1/nhom-sinh-vien/{id} (ma nhom = ma de tai)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/api/v1/nhom-sinh-vien/{id}/thanh-vien · DELETE /api/v1/nhom-sinh-vien/{id}/thanh-vien/{svId}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lớp học phần và mốc thời gian chung</t>
        </is>
      </c>
      <c r="C26" s="6" t="inlineStr">
        <is>
          <t>YCCN-08</t>
        </is>
      </c>
      <c r="D26" s="6" t="inlineStr">
        <is>
          <t>POST/PATCH/DELETE /api/v1/lop-hoc-phan · POST /api/v1/moc-thoi-gian · DELETE /api/v1/moc-thoi-gian/{id}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lớp học phần, mốc</t>
        </is>
      </c>
      <c r="C27" s="6" t="inlineStr">
        <is>
          <t>YCCN-08</t>
        </is>
      </c>
      <c r="D27" s="6" t="inlineStr">
        <is>
          <t>GET /api/v1/lop-hoc-phan · GET /api/v1/moc-thoi-gian?lop_hoc_phan_id=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 khi bị yêu cầu bổ sung (tạo bản nộp mới)</t>
        </is>
      </c>
      <c r="C30" s="6" t="inlineStr">
        <is>
          <t>YCCN-09</t>
        </is>
      </c>
      <c r="D30" s="6" t="inlineStr">
        <is>
          <t>POST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báo cáo mốc (chi tiết, danh sách theo đề tài)</t>
        </is>
      </c>
      <c r="C31" s="6" t="inlineStr">
        <is>
          <t>—</t>
        </is>
      </c>
      <c r="D31" s="6" t="inlineStr">
        <is>
          <t>GET /api/v1/bao-cao-moc/{id} · GET /api/v1/de-tai/{deTaiId}/bao-cao-moc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5" t="inlineStr">
        <is>
          <t>M4. Nghiệm thu &amp; đánh giá cuối kỳ (K3)</t>
        </is>
      </c>
      <c r="B36" s="26" t="n"/>
      <c r="C36" s="26" t="n"/>
      <c r="D36" s="26" t="n"/>
      <c r="E36" s="26" t="n"/>
      <c r="F36" s="26" t="n"/>
      <c r="G36" s="26" t="n"/>
      <c r="H36" s="26" t="n"/>
      <c r="I36" s="26" t="n"/>
      <c r="J36" s="27" t="n"/>
    </row>
    <row r="37">
      <c r="A37" s="6" t="inlineStr">
        <is>
          <t>F4.1</t>
        </is>
      </c>
      <c r="B37" s="6" t="inlineStr">
        <is>
          <t>Danh sách hồ sơ đủ điều kiện nghiệm thu</t>
        </is>
      </c>
      <c r="C37" s="6" t="inlineStr">
        <is>
          <t>YCCN-19</t>
        </is>
      </c>
      <c r="D37" s="6" t="inlineStr">
        <is>
          <t>GET /api/v1/nghiem-thu/ho-so?trang_thai=&amp;page=&amp;size=</t>
        </is>
      </c>
      <c r="E37" s="11" t="inlineStr">
        <is>
          <t>Không</t>
        </is>
      </c>
      <c r="F37" s="11" t="inlineStr">
        <is>
          <t>Không</t>
        </is>
      </c>
      <c r="G37" s="11" t="inlineStr">
        <is>
          <t>Không</t>
        </is>
      </c>
      <c r="H37" s="11" t="inlineStr">
        <is>
          <t>Không</t>
        </is>
      </c>
      <c r="I37" s="8" t="inlineStr">
        <is>
          <t>Có</t>
        </is>
      </c>
      <c r="J37" s="10" t="inlineStr">
        <is>
          <t>G4</t>
        </is>
      </c>
    </row>
    <row r="38">
      <c r="A38" s="6" t="inlineStr">
        <is>
          <t>F4.2</t>
        </is>
      </c>
      <c r="B38" s="6" t="inlineStr">
        <is>
          <t>Xem chi tiết hồ sơ nghiệm thu</t>
        </is>
      </c>
      <c r="C38" s="6" t="inlineStr">
        <is>
          <t>YCCN-19</t>
        </is>
      </c>
      <c r="D38" s="6" t="inlineStr">
        <is>
          <t>GET /api/v1/de-tai/{id}/ho-so-nghiem-thu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12" t="inlineStr">
        <is>
          <t>Đủ ĐK nghiệm thu</t>
        </is>
      </c>
      <c r="J38" s="10" t="inlineStr">
        <is>
          <t>G4</t>
        </is>
      </c>
    </row>
    <row r="39">
      <c r="A39" s="6" t="inlineStr">
        <is>
          <t>F4.3</t>
        </is>
      </c>
      <c r="B39" s="6" t="inlineStr">
        <is>
          <t>Chấm điểm nghiệm thu</t>
        </is>
      </c>
      <c r="C39" s="6" t="inlineStr">
        <is>
          <t>YCCN-19</t>
        </is>
      </c>
      <c r="D39" s="6" t="inlineStr">
        <is>
          <t>POST /api/v1/de-tai/{id}/diem-nghiem-thu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F4.4</t>
        </is>
      </c>
      <c r="B40" s="6" t="inlineStr">
        <is>
          <t>Xem điểm nghiệm thu đã chấm</t>
        </is>
      </c>
      <c r="C40" s="6" t="inlineStr">
        <is>
          <t>—</t>
        </is>
      </c>
      <c r="D40" s="6" t="inlineStr">
        <is>
          <t>GET /api/v1/de-tai/{id}/diem-nghiem-thu</t>
        </is>
      </c>
      <c r="E40" s="11" t="inlineStr">
        <is>
          <t>Không</t>
        </is>
      </c>
      <c r="F40" s="12" t="inlineStr">
        <is>
          <t>Chủ đề tài (sau khi chốt)</t>
        </is>
      </c>
      <c r="G40" s="12" t="inlineStr">
        <is>
          <t>Nhóm phụ trách (sau khi chốt)</t>
        </is>
      </c>
      <c r="H40" s="8" t="inlineStr">
        <is>
          <t>Có</t>
        </is>
      </c>
      <c r="I40" s="8" t="inlineStr">
        <is>
          <t>Có</t>
        </is>
      </c>
      <c r="J40" s="10" t="inlineStr">
        <is>
          <t>G10</t>
        </is>
      </c>
    </row>
    <row r="41">
      <c r="A41" s="6" t="inlineStr">
        <is>
          <t>F4.5</t>
        </is>
      </c>
      <c r="B41" s="6" t="inlineStr">
        <is>
          <t>Chốt kết quả nghiệm thu (completed → accepted)</t>
        </is>
      </c>
      <c r="C41" s="6" t="inlineStr">
        <is>
          <t>—</t>
        </is>
      </c>
      <c r="D41" s="6" t="inlineStr">
        <is>
          <t>POST /api/v1/de-tai/{id}/chot-nghiem-thu</t>
        </is>
      </c>
      <c r="E41" s="11" t="inlineStr">
        <is>
          <t>Không</t>
        </is>
      </c>
      <c r="F41" s="11" t="inlineStr">
        <is>
          <t>Không</t>
        </is>
      </c>
      <c r="G41" s="11" t="inlineStr">
        <is>
          <t>Không</t>
        </is>
      </c>
      <c r="H41" s="8" t="inlineStr">
        <is>
          <t>Có</t>
        </is>
      </c>
      <c r="I41" s="11" t="inlineStr">
        <is>
          <t>Không</t>
        </is>
      </c>
      <c r="J41" s="10" t="inlineStr">
        <is>
          <t>G1</t>
        </is>
      </c>
    </row>
    <row r="42">
      <c r="A42" s="5" t="inlineStr">
        <is>
          <t>M5. Thống kê, báo cáo &amp; nhật ký (K7, K8)</t>
        </is>
      </c>
      <c r="B42" s="26" t="n"/>
      <c r="C42" s="26" t="n"/>
      <c r="D42" s="26" t="n"/>
      <c r="E42" s="26" t="n"/>
      <c r="F42" s="26" t="n"/>
      <c r="G42" s="26" t="n"/>
      <c r="H42" s="26" t="n"/>
      <c r="I42" s="26" t="n"/>
      <c r="J42" s="27" t="n"/>
    </row>
    <row r="43">
      <c r="A43" s="6" t="inlineStr">
        <is>
          <t>F5.1</t>
        </is>
      </c>
      <c r="B43" s="6" t="inlineStr">
        <is>
          <t>Thống kê tiến độ toàn khoa</t>
        </is>
      </c>
      <c r="C43" s="6" t="inlineStr">
        <is>
          <t>YCCN-17</t>
        </is>
      </c>
      <c r="D43" s="6" t="inlineStr">
        <is>
          <t>GET /api/v1/thong-ke/tien-do?lop=&amp;gvhd_id=&amp;tu_ngay=&amp;den_ngay=</t>
        </is>
      </c>
      <c r="E43" s="11" t="inlineStr">
        <is>
          <t>Không</t>
        </is>
      </c>
      <c r="F43" s="11" t="inlineStr">
        <is>
          <t>Không</t>
        </is>
      </c>
      <c r="G43" s="12" t="inlineStr">
        <is>
          <t>Trong phạm vi</t>
        </is>
      </c>
      <c r="H43" s="8" t="inlineStr">
        <is>
          <t>Có</t>
        </is>
      </c>
      <c r="I43" s="11" t="inlineStr">
        <is>
          <t>Không</t>
        </is>
      </c>
      <c r="J43" s="10" t="inlineStr">
        <is>
          <t>G6</t>
        </is>
      </c>
    </row>
    <row r="44">
      <c r="A44" s="6" t="inlineStr">
        <is>
          <t>F5.2</t>
        </is>
      </c>
      <c r="B44" s="6" t="inlineStr">
        <is>
          <t>Xuất báo cáo thống kê CSV/Excel</t>
        </is>
      </c>
      <c r="C44" s="6" t="inlineStr">
        <is>
          <t>YCCN-18</t>
        </is>
      </c>
      <c r="D44" s="6" t="inlineStr">
        <is>
          <t>GET /api/v1/thong-ke/tien-do/xuat?dinh_dang=csv</t>
        </is>
      </c>
      <c r="E44" s="11" t="inlineStr">
        <is>
          <t>Không</t>
        </is>
      </c>
      <c r="F44" s="11" t="inlineStr">
        <is>
          <t>Không</t>
        </is>
      </c>
      <c r="G44" s="11" t="inlineStr">
        <is>
          <t>Không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G1</t>
        </is>
      </c>
    </row>
    <row r="45">
      <c r="A45" s="6" t="inlineStr">
        <is>
          <t>F5.3</t>
        </is>
      </c>
      <c r="B45" s="6" t="inlineStr">
        <is>
          <t>Tra cứu nhật ký hệ thống</t>
        </is>
      </c>
      <c r="C45" s="6" t="inlineStr">
        <is>
          <t>YCCN-20</t>
        </is>
      </c>
      <c r="D45" s="6" t="inlineStr">
        <is>
          <t>GET /api/v1/nhat-ky-he-thong?nguoi_dung_id=&amp;hanh_dong=</t>
        </is>
      </c>
      <c r="E45" s="11" t="inlineStr">
        <is>
          <t>Không</t>
        </is>
      </c>
      <c r="F45" s="11" t="inlineStr">
        <is>
          <t>Không</t>
        </is>
      </c>
      <c r="G45" s="11" t="inlineStr">
        <is>
          <t>Không</t>
        </is>
      </c>
      <c r="H45" s="8" t="inlineStr">
        <is>
          <t>Có</t>
        </is>
      </c>
      <c r="I45" s="11" t="inlineStr">
        <is>
          <t>Không</t>
        </is>
      </c>
      <c r="J45" s="10" t="inlineStr">
        <is>
          <t>G1</t>
        </is>
      </c>
    </row>
    <row r="46">
      <c r="A46" s="5" t="inlineStr">
        <is>
          <t>M6. Thông báo &amp; nhắc hạn (K9)</t>
        </is>
      </c>
      <c r="B46" s="26" t="n"/>
      <c r="C46" s="26" t="n"/>
      <c r="D46" s="26" t="n"/>
      <c r="E46" s="26" t="n"/>
      <c r="F46" s="26" t="n"/>
      <c r="G46" s="26" t="n"/>
      <c r="H46" s="26" t="n"/>
      <c r="I46" s="26" t="n"/>
      <c r="J46" s="27" t="n"/>
    </row>
    <row r="47">
      <c r="A47" s="6" t="inlineStr">
        <is>
          <t>F6.1</t>
        </is>
      </c>
      <c r="B47" s="6" t="inlineStr">
        <is>
          <t>Danh sách thông báo của tôi</t>
        </is>
      </c>
      <c r="C47" s="6" t="inlineStr">
        <is>
          <t>YCCN-15</t>
        </is>
      </c>
      <c r="D47" s="6" t="inlineStr">
        <is>
          <t>GET /api/v1/thong-bao?page=&amp;size=</t>
        </is>
      </c>
      <c r="E47" s="11" t="inlineStr">
        <is>
          <t>Không</t>
        </is>
      </c>
      <c r="F47" s="12" t="inlineStr">
        <is>
          <t>Của mình</t>
        </is>
      </c>
      <c r="G47" s="12" t="inlineStr">
        <is>
          <t>Của mình</t>
        </is>
      </c>
      <c r="H47" s="12" t="inlineStr">
        <is>
          <t>Của mình</t>
        </is>
      </c>
      <c r="I47" s="12" t="inlineStr">
        <is>
          <t>Của mình</t>
        </is>
      </c>
      <c r="J47" s="10" t="inlineStr">
        <is>
          <t>G10</t>
        </is>
      </c>
    </row>
    <row r="48">
      <c r="A48" s="6" t="inlineStr">
        <is>
          <t>F6.2</t>
        </is>
      </c>
      <c r="B48" s="6" t="inlineStr">
        <is>
          <t>Đánh dấu thông báo đã đọc</t>
        </is>
      </c>
      <c r="C48" s="6" t="inlineStr">
        <is>
          <t>YCCN-15</t>
        </is>
      </c>
      <c r="D48" s="6" t="inlineStr">
        <is>
          <t>PATCH /api/v1/thong-bao/{id}/da-doc</t>
        </is>
      </c>
      <c r="E48" s="11" t="inlineStr">
        <is>
          <t>Không</t>
        </is>
      </c>
      <c r="F48" s="12" t="inlineStr">
        <is>
          <t>Của mình</t>
        </is>
      </c>
      <c r="G48" s="12" t="inlineStr">
        <is>
          <t>Của mình</t>
        </is>
      </c>
      <c r="H48" s="12" t="inlineStr">
        <is>
          <t>Của mình</t>
        </is>
      </c>
      <c r="I48" s="12" t="inlineStr">
        <is>
          <t>Của mình</t>
        </is>
      </c>
      <c r="J48" s="10" t="inlineStr">
        <is>
          <t>G10</t>
        </is>
      </c>
    </row>
    <row r="49">
      <c r="A49" s="6" t="inlineStr">
        <is>
          <t>F6.3</t>
        </is>
      </c>
      <c r="B49" s="6" t="inlineStr">
        <is>
          <t>Tác vụ nhắc hạn (điểm cuối nội bộ)</t>
        </is>
      </c>
      <c r="C49" s="6" t="inlineStr">
        <is>
          <t>YCCN-15</t>
        </is>
      </c>
      <c r="D49" s="6" t="inlineStr">
        <is>
          <t>POST /api/v1/internal/thong-bao/nhac-han</t>
        </is>
      </c>
      <c r="E49" s="11" t="inlineStr">
        <is>
          <t>Không</t>
        </is>
      </c>
      <c r="F49" s="11" t="inlineStr">
        <is>
          <t>Không</t>
        </is>
      </c>
      <c r="G49" s="11" t="inlineStr">
        <is>
          <t>Không</t>
        </is>
      </c>
      <c r="H49" s="11" t="inlineStr">
        <is>
          <t>Không</t>
        </is>
      </c>
      <c r="I49" s="11" t="inlineStr">
        <is>
          <t>Không</t>
        </is>
      </c>
      <c r="J49" s="10" t="inlineStr">
        <is>
          <t>G5</t>
        </is>
      </c>
    </row>
    <row r="50">
      <c r="A50" s="5" t="inlineStr">
        <is>
          <t>Điểm cuối dùng chung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7" t="n"/>
    </row>
    <row r="51">
      <c r="A51" s="6" t="inlineStr">
        <is>
          <t>F7.1</t>
        </is>
      </c>
      <c r="B51" s="6" t="inlineStr">
        <is>
          <t>Kiểm tra sức khỏe hệ thống</t>
        </is>
      </c>
      <c r="C51" s="6" t="inlineStr">
        <is>
          <t>—</t>
        </is>
      </c>
      <c r="D51" s="6" t="inlineStr">
        <is>
          <t>GET /api/v1/health</t>
        </is>
      </c>
      <c r="E51" s="8" t="inlineStr">
        <is>
          <t>Có</t>
        </is>
      </c>
      <c r="F51" s="8" t="inlineStr">
        <is>
          <t>Có</t>
        </is>
      </c>
      <c r="G51" s="8" t="inlineStr">
        <is>
          <t>Có</t>
        </is>
      </c>
      <c r="H51" s="8" t="inlineStr">
        <is>
          <t>Có</t>
        </is>
      </c>
      <c r="I51" s="8" t="inlineStr">
        <is>
          <t>Có</t>
        </is>
      </c>
      <c r="J51" s="10" t="inlineStr">
        <is>
          <t>—</t>
        </is>
      </c>
    </row>
    <row r="52"/>
    <row r="53">
      <c r="D53" s="13" t="inlineStr">
        <is>
          <t>Số ô "Không" (= số ca kiểm thử)</t>
        </is>
      </c>
      <c r="E53" s="14">
        <f>COUNTIF(E6:E51,"Không")</f>
        <v/>
      </c>
      <c r="F53" s="14">
        <f>COUNTIF(F6:F51,"Không")</f>
        <v/>
      </c>
      <c r="G53" s="14">
        <f>COUNTIF(G6:G51,"Không")</f>
        <v/>
      </c>
      <c r="H53" s="14">
        <f>COUNTIF(H6:H51,"Không")</f>
        <v/>
      </c>
      <c r="I53" s="14">
        <f>COUNTIF(I6:I51,"Không")</f>
        <v/>
      </c>
      <c r="K53" s="15">
        <f>SUM(E53:I53)</f>
        <v/>
      </c>
    </row>
    <row r="54">
      <c r="D54" s="13" t="inlineStr">
        <is>
          <t>Số ô theo phạm vi (kiểm quyền trên đối tượng)</t>
        </is>
      </c>
      <c r="E54" s="16">
        <f>COUNTA(E6:E51)-COUNTIF(E6:E51,"Không")-COUNTIF(E6:E51,"Có")-COUNTIF(E6:E51,"—")</f>
        <v/>
      </c>
      <c r="F54" s="16">
        <f>COUNTA(F6:F51)-COUNTIF(F6:F51,"Không")-COUNTIF(F6:F51,"Có")-COUNTIF(F6:F51,"—")</f>
        <v/>
      </c>
      <c r="G54" s="16">
        <f>COUNTA(G6:G51)-COUNTIF(G6:G51,"Không")-COUNTIF(G6:G51,"Có")-COUNTIF(G6:G51,"—")</f>
        <v/>
      </c>
      <c r="H54" s="16">
        <f>COUNTA(H6:H51)-COUNTIF(H6:H51,"Không")-COUNTIF(H6:H51,"Có")-COUNTIF(H6:H51,"—")</f>
        <v/>
      </c>
      <c r="I54" s="16">
        <f>COUNTA(I6:I51)-COUNTIF(I6:I51,"Không")-COUNTIF(I6:I51,"Có")-COUNTIF(I6:I51,"—")</f>
        <v/>
      </c>
      <c r="K54" s="17">
        <f>SUM(E54:I54)</f>
        <v/>
      </c>
    </row>
  </sheetData>
  <mergeCells count="7">
    <mergeCell ref="A46:J46"/>
    <mergeCell ref="A36:J36"/>
    <mergeCell ref="A6:J6"/>
    <mergeCell ref="A42:J42"/>
    <mergeCell ref="A50:J50"/>
    <mergeCell ref="A25:J25"/>
    <mergeCell ref="A13:J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7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7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7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7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8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VÀ THAO TÁC DỮ LIỆU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  <row r="20">
      <c r="A20" s="18" t="inlineStr">
        <is>
          <t>TC-NV-18</t>
        </is>
      </c>
      <c r="B20" s="18" t="inlineStr">
        <is>
          <t>L1 · UC01, UC02 · F2.8</t>
        </is>
      </c>
      <c r="C20" s="18" t="inlineStr">
        <is>
          <t>Luồng chính – phân công GVHD</t>
        </is>
      </c>
      <c r="D20" s="18" t="inlineStr">
        <is>
          <t>sv_chua_co_nhom chưa có đề tài; thukykhoa (thư ký); gv_nguyen_van_a (GVHD, id 2)</t>
        </is>
      </c>
      <c r="E20" s="18" t="inlineStr">
        <is>
          <t>(a) sv_chua_co_nhom POST /api/v1/de-tai (lop_hoc_phan_id = 1); (b) gv_nguyen_van_a POST /api/v1/de-tai/{id}/duyet; (c) thukykhoa PATCH /api/v1/nhom-sinh-vien/{id}/gvhd {"gvhd_id":2}; (d) gv_nguyen_van_a duyệt lại</t>
        </is>
      </c>
      <c r="F20" s="18" t="inlineStr">
        <is>
          <t>(a) 201, pending, gvhd_id NULL; (b) 403 vì chưa được phân công; (c) 200, gvhd_id = 2, GVHD nhận 1 thông báo, nhật ký ASSIGN_SUPERVISOR; (d) 200, approved</t>
        </is>
      </c>
      <c r="G20" s="18" t="inlineStr">
        <is>
          <t>Máy cục bộ, 02/10/2026: (a) 201, pending, gvhd_id = NULL; (b) 403; (c) 200, gvhd_id = 2, thông báo cho GVHD 2: +1, nhật ký ASSIGN_SUPERVISOR: 1 dòng; (d) 200, approved
Web, 02/10/2026: (a) 201, pending, gvhd_id = NULL; (b) 403; (c) 200, gvhd_id = 2, GVHD có thông báo; (d) 200, approved (đề tài thử ID 87)</t>
        </is>
      </c>
      <c r="H20" s="18" t="inlineStr">
        <is>
          <t>Đạt</t>
        </is>
      </c>
    </row>
    <row r="21">
      <c r="A21" s="18" t="inlineStr">
        <is>
          <t>TC-NV-19</t>
        </is>
      </c>
      <c r="B21" s="18" t="inlineStr">
        <is>
          <t>L1 · F2.8</t>
        </is>
      </c>
      <c r="C21" s="18" t="inlineStr">
        <is>
          <t>Ngoại lệ – phân công sai</t>
        </is>
      </c>
      <c r="D21" s="18" t="inlineStr">
        <is>
          <t>Đề tài tạo ở TC-NV-18; tài khoản GVHD gv_moi_thu đang bị khóa (TC-NV-26)</t>
        </is>
      </c>
      <c r="E21" s="18" t="inlineStr">
        <is>
          <t>(a) sinh viên gọi PATCH /nhom-sinh-vien/{id}/gvhd; (b) thư ký gán gvhd_id = 3 (tài khoản sinh viên); (c) đề tài 999999; (d) gán GVHD đang bị khóa cho đề tài 14; (e) phân công lại đề tài TC-NV-18 sau khi đã duyệt</t>
        </is>
      </c>
      <c r="F21" s="18" t="inlineStr">
        <is>
          <t>(a) 403; (b) 422 VALIDATION_FAILED; (c) 404; (d) 422 VALIDATION_FAILED; (e) 422 INVALID_TRANSITION</t>
        </is>
      </c>
      <c r="G21" s="18" t="inlineStr">
        <is>
          <t>Máy cục bộ, 02/10/2026: (a) 403; (b) 422 VALIDATION_FAILED; (c) 404; (d) 422 VALIDATION_FAILED; (e) 422 INVALID_TRANSITION
Web, 02/10/2026: (a) 403; (b) 422 VALIDATION_FAILED; (c) 404; (d) 422 VALIDATION_FAILED; (e) 422 INVALID_TRANSITION</t>
        </is>
      </c>
      <c r="H21" s="18" t="inlineStr">
        <is>
          <t>Đạt</t>
        </is>
      </c>
    </row>
    <row r="22">
      <c r="A22" s="18" t="inlineStr">
        <is>
          <t>TC-NV-20</t>
        </is>
      </c>
      <c r="B22" s="18" t="inlineStr">
        <is>
          <t>Nhóm · F2.10</t>
        </is>
      </c>
      <c r="C22" s="18" t="inlineStr">
        <is>
          <t>Phân quyền trên đối tượng</t>
        </is>
      </c>
      <c r="D22" s="18" t="inlineStr">
        <is>
          <t>Nhóm của đề tài TC-NV-18 (nhóm trưởng sv_chua_co_nhom)</t>
        </is>
      </c>
      <c r="E22" s="18" t="inlineStr">
        <is>
          <t>GET /api/v1/nhom-sinh-vien/{id} lần lượt bằng: nhóm trưởng, sinh viên nhóm khác (sv24100070), GVHD phụ trách, thư ký</t>
        </is>
      </c>
      <c r="F22" s="18" t="inlineStr">
        <is>
          <t>Nhóm trưởng 200 (có GVHD, danh sách thành viên); sinh viên nhóm khác 403; GVHD 403 (ma trận F2.10: Không); thư ký 200</t>
        </is>
      </c>
      <c r="G22" s="18" t="inlineStr">
        <is>
          <t>Máy cục bộ, 02/10/2026: nhóm trưởng 200, GVHD id 2, 1 thành viên; sinh viên nhóm khác 403; GVHD 403; thư ký 200
Web, 02/10/2026: nhóm trưởng 200, GVHD TS. Nguyễn Văn A, 1 thành viên; sinh viên nhóm khác 403; GVHD 403; thư ký 200</t>
        </is>
      </c>
      <c r="H22" s="18" t="inlineStr">
        <is>
          <t>Đạt</t>
        </is>
      </c>
    </row>
    <row r="23">
      <c r="A23" s="18" t="inlineStr">
        <is>
          <t>TC-NV-21</t>
        </is>
      </c>
      <c r="B23" s="18" t="inlineStr">
        <is>
          <t>Nhóm · F2.11</t>
        </is>
      </c>
      <c r="C23" s="18" t="inlineStr">
        <is>
          <t>Luồng chính và ngoại lệ – thêm thành viên</t>
        </is>
      </c>
      <c r="D23" s="18" t="inlineStr">
        <is>
          <t>Nhóm của đề tài TC-NV-18; sinh viên 224 chưa thuộc nhóm nào; sinh viên 3 đang ở đề tài 1</t>
        </is>
      </c>
      <c r="E23" s="18" t="inlineStr">
        <is>
          <t>(a) nhóm trưởng POST /api/v1/nhom-sinh-vien/{id}/thanh-vien {"sinh_vien_id":224}; (b) thêm 224 lần nữa; (c) thêm sinh viên 3; (d) thêm tài khoản GVHD id 2; (e) thành viên 224 (không phải nhóm trưởng) thêm người khác</t>
        </is>
      </c>
      <c r="F23" s="18" t="inlineStr">
        <is>
          <t>(a) 201, nhóm có 2 người; (b) 409 CONFLICT; (c) 422 DA_CO_DE_TAI; (d) 422 VALIDATION_FAILED; (e) 403</t>
        </is>
      </c>
      <c r="G23" s="18" t="inlineStr">
        <is>
          <t>Máy cục bộ, 02/10/2026: (a) 201, nhóm 2 người; (b) 409 CONFLICT; (c) 422 DA_CO_DE_TAI; (d) 422 VALIDATION_FAILED; (e) 403
Web, 02/10/2026: (a) 201, nhóm 2 người; (b) 409 CONFLICT; (c) 422 DA_CO_DE_TAI; (d) 422 VALIDATION_FAILED; (e) 403</t>
        </is>
      </c>
      <c r="H23" s="18" t="inlineStr">
        <is>
          <t>Đạt</t>
        </is>
      </c>
    </row>
    <row r="24">
      <c r="A24" s="18" t="inlineStr">
        <is>
          <t>TC-NV-22</t>
        </is>
      </c>
      <c r="B24" s="18" t="inlineStr">
        <is>
          <t>Nhóm · F2.11</t>
        </is>
      </c>
      <c r="C24" s="18" t="inlineStr">
        <is>
          <t>Ngoại lệ – xóa thành viên</t>
        </is>
      </c>
      <c r="D24" s="18" t="inlineStr">
        <is>
          <t>Nhóm có nhóm trưởng 220 và thành viên 224 (sau TC-NV-21)</t>
        </is>
      </c>
      <c r="E24" s="18" t="inlineStr">
        <is>
          <t>(a) DELETE /api/v1/nhom-sinh-vien/{id}/thanh-vien/220 (nhóm trưởng); (b) xóa 224; (c) xóa 224 lần nữa</t>
        </is>
      </c>
      <c r="F24" s="18" t="inlineStr">
        <is>
          <t>(a) 422 INVALID_TRANSITION, không xóa nhóm trưởng; (b) 204; (c) 404</t>
        </is>
      </c>
      <c r="G24" s="18" t="inlineStr">
        <is>
          <t>Máy cục bộ, 02/10/2026: (a) 422 INVALID_TRANSITION; (b) 204; (c) 404
Web, 02/10/2026: (a) 422 INVALID_TRANSITION; (b) 204; (c) 404</t>
        </is>
      </c>
      <c r="H24" s="18" t="inlineStr">
        <is>
          <t>Đạt</t>
        </is>
      </c>
    </row>
    <row r="25">
      <c r="A25" s="18" t="inlineStr">
        <is>
          <t>TC-NV-23</t>
        </is>
      </c>
      <c r="B25" s="18" t="inlineStr">
        <is>
          <t>Lớp học phần · F3.1, F3.2</t>
        </is>
      </c>
      <c r="C25" s="18" t="inlineStr">
        <is>
          <t>Thao tác dữ liệu và ràng buộc</t>
        </is>
      </c>
      <c r="D25" s="18" t="inlineStr">
        <is>
          <t>Đăng nhập thukykhoa; lớp 1 đang có đề tài</t>
        </is>
      </c>
      <c r="E25" s="18" t="inlineStr">
        <is>
          <t>(a) sinh viên POST /api/v1/lop-hoc-phan; (b) thư ký gửi hoc_ky "HK9"; (c) tạo lớp THU01, hoc_ky "hk1"; (d) tạo trùng ma_lop THU01; (e) PATCH ten_lop; (f) sinh viên GET /api/v1/lop-hoc-phan; (g) DELETE lớp 1; (h) DELETE lớp THU01 (sau khi xóa mốc ở TC-NV-24)</t>
        </is>
      </c>
      <c r="F25" s="18" t="inlineStr">
        <is>
          <t>(a) 403; (b) 422; (c) 201, hoc_ky lưu HK1; (d) 422; (e) 200; (f) 200; (g) 409 CONFLICT vì còn đề tài; (h) 204</t>
        </is>
      </c>
      <c r="G25" s="18" t="inlineStr">
        <is>
          <t>Máy cục bộ, 02/10/2026: (a) 403; (b) 422 VALIDATION_FAILED; (c) 201, HK1; (d) 422 VALIDATION_FAILED; (e) 200; (f) 200; (g) 409 CONFLICT; (h) 204
Web, 02/10/2026: (a) 403; (b) 422 VALIDATION_FAILED; (c) 201, HK1; (d) 422 VALIDATION_FAILED; (e) 200; (f) 200; (g) 409 CONFLICT; (h) 204</t>
        </is>
      </c>
      <c r="H25" s="18" t="inlineStr">
        <is>
          <t>Đạt</t>
        </is>
      </c>
    </row>
    <row r="26">
      <c r="A26" s="18" t="inlineStr">
        <is>
          <t>TC-NV-24</t>
        </is>
      </c>
      <c r="B26" s="18" t="inlineStr">
        <is>
          <t>Mốc · F3.1 – F3.3</t>
        </is>
      </c>
      <c r="C26" s="18" t="inlineStr">
        <is>
          <t>Thao tác dữ liệu và ràng buộc</t>
        </is>
      </c>
      <c r="D26" s="18" t="inlineStr">
        <is>
          <t>Lớp THU01 vừa tạo ở TC-NV-23; mốc 1 đã có bản nộp</t>
        </is>
      </c>
      <c r="E26" s="18" t="inlineStr">
        <is>
          <t>(a) POST /api/v1/moc-thoi-gian với lop_hoc_phan_id 999999; (b) han_nop "01/12/2026"; (c) tạo mốc, han_nop "2026-12-01T23:59" (ô datetime-local); (d) GVHD tạo mốc; (e) sinh viên GET ?lop_hoc_phan_id={lop}; (f) GET thiếu lop_hoc_phan_id; (g) PATCH han_nop; (h) DELETE mốc 1; (i) DELETE mốc mới</t>
        </is>
      </c>
      <c r="F26" s="18" t="inlineStr">
        <is>
          <t>(a) 422; (b) 422; (c) 201, han_nop lưu 2026-12-01 23:59:00; (d) 403; (e) 200, 1 mốc; (f) 422; (g) 200; (h) 409 CONFLICT; (i) 204</t>
        </is>
      </c>
      <c r="G26" s="18" t="inlineStr">
        <is>
          <t>Máy cục bộ, 02/10/2026: (a) 422 VALIDATION_FAILED; (b) 422 VALIDATION_FAILED; (c) 201, 2026-12-01 23:59:00; (d) 403; (e) 200, 1 mốc; (f) 422; (g) 200, 2026-12-05 12:00:00; (h) 409 CONFLICT; (i) 204
Web, 02/10/2026: (a) 422 VALIDATION_FAILED; (b) 422 VALIDATION_FAILED; (c) 201, 2026-12-01 23:59:00; (d) 403; (e) 200, 1 mốc; (f) 422; (g) 200, 2026-12-05 12:00:00; (h) 409 CONFLICT; (i) 204</t>
        </is>
      </c>
      <c r="H26" s="18" t="inlineStr">
        <is>
          <t>Đạt</t>
        </is>
      </c>
    </row>
    <row r="27">
      <c r="A27" s="18" t="inlineStr">
        <is>
          <t>TC-NV-25</t>
        </is>
      </c>
      <c r="B27" s="18" t="inlineStr">
        <is>
          <t>Tài khoản · F1.6</t>
        </is>
      </c>
      <c r="C27" s="18" t="inlineStr">
        <is>
          <t>Phân quyền và luồng chính</t>
        </is>
      </c>
      <c r="D27" s="18" t="inlineStr">
        <is>
          <t>Đăng nhập thukykhoa; sinh viên sv_chua_co_nhom</t>
        </is>
      </c>
      <c r="E27" s="18" t="inlineStr">
        <is>
          <t>(a) sinh viên GET /api/v1/nguoi-dung; (b) thư ký GET ?vai_tro=GVHD; (c) ?q=thukykhoa; (d) ?vai_tro=ADMIN; (e) POST /api/v1/nguoi-dung tạo gv_moi_thu, vai_tro "gvhd"; (f) tạo trùng ten_dang_nhap</t>
        </is>
      </c>
      <c r="F27" s="18" t="inlineStr">
        <is>
          <t>(a) 403; (b) 200, mọi dòng đều có vai trò GVHD; (c) 200, 1 kết quả; (d) 422; (e) 201, vai_tro [GVHD], phản hồi không có mat_khau_hash; (f) 422</t>
        </is>
      </c>
      <c r="G27" s="18" t="inlineStr">
        <is>
          <t>Máy cục bộ, 02/10/2026: (a) 403; (b) 200, 9 tài khoản, đều có GVHD; (c) 200, 1 kết quả; (d) 422 VALIDATION_FAILED; (e) 201, vai_tro ['GVHD'], không có mat_khau_hash; (f) 422 VALIDATION_FAILED
Web, 02/10/2026: (a) 403; (b) 200, 9 tài khoản, đều có GVHD; (c) 200, 1 kết quả; (d) 422 VALIDATION_FAILED; (e) 201, vai_tro [GVHD], không có mat_khau_hash; (f) 422 VALIDATION_FAILED (tài khoản thử mã 225)</t>
        </is>
      </c>
      <c r="H27" s="18" t="inlineStr">
        <is>
          <t>Đạt</t>
        </is>
      </c>
    </row>
    <row r="28">
      <c r="A28" s="18" t="inlineStr">
        <is>
          <t>TC-NV-26</t>
        </is>
      </c>
      <c r="B28" s="18" t="inlineStr">
        <is>
          <t>Tài khoản · F1.6, F1.2</t>
        </is>
      </c>
      <c r="C28" s="18" t="inlineStr">
        <is>
          <t>Khóa / mở, đổi vai trò</t>
        </is>
      </c>
      <c r="D28" s="18" t="inlineStr">
        <is>
          <t>Tài khoản gv_moi_thu tạo ở TC-NV-25</t>
        </is>
      </c>
      <c r="E28" s="18" t="inlineStr">
        <is>
          <t>(a) PATCH /api/v1/nguoi-dung/{id}/trang-thai {"khoa":true}; (b) gv_moi_thu đăng nhập đúng mật khẩu; (c) đăng nhập sai mật khẩu; (d) {"khoa":false}; (e) đăng nhập lại; (f) {"vai_tro":"HOI_DONG"}; (g) {"khoa":"co"}; (h) thư ký tự khóa mình; (i) thư ký tự đổi vai trò sang GVHD</t>
        </is>
      </c>
      <c r="F28" s="18" t="inlineStr">
        <is>
          <t>(a) 200, bi_khoa true; (b) 403 ACCOUNT_LOCKED; (c) 401, không lộ tài khoản bị khóa; (d) 200; (e) 200; (f) 200, [HOI_DONG]; (g) 422; (h) 422; (i) 422</t>
        </is>
      </c>
      <c r="G28" s="18" t="inlineStr">
        <is>
          <t>Máy cục bộ, 02/10/2026: (a) 200, bi_khoa True; (b) 403 ACCOUNT_LOCKED; (c) 401 UNAUTHENTICATED; (d) 200, False; (e) 200; (f) 200, ['HOI_DONG']; (g) 422 VALIDATION_FAILED; (h) 422 INVALID_TRANSITION; (i) 422 INVALID_TRANSITION
Web, 02/10/2026: (a) 200, bi_khoa true; (b) 403 ACCOUNT_LOCKED; (c) 401 UNAUTHENTICATED; (d) 200, bi_khoa false; (e) 200; (f) 200, [HOI_DONG]; (g) 422 VALIDATION_FAILED; (h) 422 INVALID_TRANSITION; (i) 422 INVALID_TRANSITION</t>
        </is>
      </c>
      <c r="H28" s="18" t="inlineStr">
        <is>
          <t>Đạt</t>
        </is>
      </c>
    </row>
    <row r="29">
      <c r="A29" s="18" t="inlineStr">
        <is>
          <t>TC-NV-27</t>
        </is>
      </c>
      <c r="B29" s="18" t="inlineStr">
        <is>
          <t>Hồ sơ · F1.4, F1.5</t>
        </is>
      </c>
      <c r="C29" s="18" t="inlineStr">
        <is>
          <t>Luồng chính và ngoại lệ</t>
        </is>
      </c>
      <c r="D29" s="18" t="inlineStr">
        <is>
          <t>Đăng nhập sv24100070</t>
        </is>
      </c>
      <c r="E29" s="18" t="inlineStr">
        <is>
          <t>(a) PATCH /api/v1/nguoi-dung/toi {"ho_ten","so_dien_thoai"}; (b) chỉ gửi {"vai_tro":"THU_KY_KHOA"}; (c) email của thukykhoa; (d) PATCH /api/v1/nguoi-dung/toi/mat-khau sai mật khẩu cũ; (e) đổi đúng; (f) đăng nhập bằng mật khẩu mới</t>
        </is>
      </c>
      <c r="F29" s="18" t="inlineStr">
        <is>
          <t>(a) 200; (b) 422, không đổi được vai trò; (c) 422 email đã dùng; (d) 422; (e) 200; (f) 200</t>
        </is>
      </c>
      <c r="G29" s="18" t="inlineStr">
        <is>
          <t>Máy cục bộ, 02/10/2026: (a) 200, họ tên mới; (b) 422 VALIDATION_FAILED; (c) 422 (Email da duoc su dung); (d) 422 VALIDATION_FAILED; (e) 200; (f) 200
Web, 02/10/2026: (a) 200, họ tên mới; (b) 422 VALIDATION_FAILED; (c) 422 (Email da duoc su dung); (d) 422 VALIDATION_FAILED; (e) 200; (f) 200; đã trả lại mật khẩu, họ tên cũ: 200, 200</t>
        </is>
      </c>
      <c r="H29" s="18" t="inlineStr">
        <is>
          <t>Đạt</t>
        </is>
      </c>
    </row>
    <row r="30">
      <c r="A30" s="18" t="inlineStr">
        <is>
          <t>TC-NV-28</t>
        </is>
      </c>
      <c r="B30" s="18" t="inlineStr">
        <is>
          <t>Thông báo · F6.1, F6.2</t>
        </is>
      </c>
      <c r="C30" s="18" t="inlineStr">
        <is>
          <t>Phân quyền trên đối tượng</t>
        </is>
      </c>
      <c r="D30" s="18" t="inlineStr">
        <is>
          <t>sv_chua_co_nhom đã nhận thông báo phân công GVHD (TC-NV-18)</t>
        </is>
      </c>
      <c r="E30" s="18" t="inlineStr">
        <is>
          <t>(a) GET /api/v1/thong-bao; (b) PATCH /api/v1/thong-bao/{id}/da-doc thông báo của mình; (c) sv24100070 đánh dấu thông báo đó; (d) khách GET /api/v1/thong-bao</t>
        </is>
      </c>
      <c r="F30" s="18" t="inlineStr">
        <is>
          <t>(a) 200, có thông báo phân công GVHD; (b) 200, da_doc = 1; (c) 404, không lộ thông báo của người khác; (d) 401</t>
        </is>
      </c>
      <c r="G30" s="18" t="inlineStr">
        <is>
          <t>Máy cục bộ, 02/10/2026: (a) 200, có thông báo phân công; (b) 200, da_doc = 1; (c) 404; (d) 401
Web, 02/10/2026: (a) 200, có thông báo phân công; (b) 200, da_doc = 1; (c) 404; (d) 401</t>
        </is>
      </c>
      <c r="H30" s="18" t="inlineStr">
        <is>
          <t>Đạt</t>
        </is>
      </c>
    </row>
    <row r="31">
      <c r="A31" s="18" t="inlineStr">
        <is>
          <t>TC-NV-29</t>
        </is>
      </c>
      <c r="B31" s="18" t="inlineStr">
        <is>
          <t>L2 · F3.6</t>
        </is>
      </c>
      <c r="C31" s="18" t="inlineStr">
        <is>
          <t>Phân quyền trên đối tượng</t>
        </is>
      </c>
      <c r="D31" s="18" t="inlineStr">
        <is>
          <t>Đề tài 1 có báo cáo; chủ đề tài sv_tran_van_b</t>
        </is>
      </c>
      <c r="E31" s="18" t="inlineStr">
        <is>
          <t>GET /api/v1/de-tai/1/bao-cao-moc bằng chủ đề tài và bằng sinh viên nhóm khác</t>
        </is>
      </c>
      <c r="F31" s="18" t="inlineStr">
        <is>
          <t>Chủ đề tài 200, phản hồi không có duong_dan_tep; sinh viên nhóm khác 403</t>
        </is>
      </c>
      <c r="G31" s="18" t="inlineStr">
        <is>
          <t>Máy cục bộ, 02/10/2026: chủ đề tài 200, không có duong_dan_tep; sinh viên nhóm khác 403
Web, 02/10/2026: chủ đề tài 200, 4 bản nộp, không có duong_dan_tep; sinh viên nhóm khác 403</t>
        </is>
      </c>
      <c r="H31" s="18" t="inlineStr">
        <is>
          <t>Đạt</t>
        </is>
      </c>
    </row>
    <row r="32">
      <c r="A32" s="18" t="inlineStr">
        <is>
          <t>TC-NV-30</t>
        </is>
      </c>
      <c r="B32" s="18" t="inlineStr">
        <is>
          <t>Hệ thống</t>
        </is>
      </c>
      <c r="C32" s="18" t="inlineStr">
        <is>
          <t>Múi giờ</t>
        </is>
      </c>
      <c r="D32" s="18" t="inlineStr">
        <is>
          <t>MariaDB chạy --default-time-zone=-07:00 (giống máy chủ InfinityFree)</t>
        </is>
      </c>
      <c r="E32" s="18" t="inlineStr">
        <is>
          <t>(a) GET /api/v1/health; (b) thư ký tạo một lớp học phần, đọc created_at trong phản hồi; so với giờ Việt Nam lúc chạy</t>
        </is>
      </c>
      <c r="F32" s="18" t="inlineStr">
        <is>
          <t>(a) time kết thúc bằng +07:00; (b) created_at đúng giờ Việt Nam dù CSDL chạy UTC-7</t>
        </is>
      </c>
      <c r="G32" s="18" t="inlineStr">
        <is>
          <t>Máy cục bộ, 02/10/2026: (a) +07:00; (b) NOW() của CSDL là giờ UTC-7, created_at trả về 2026-10-02 00 giờ = giờ Việt Nam lúc chạy
Web, 02/10/2026: (a) time = 2026-10-02T01:20:49+07:00; (b) created_at lớp vừa tạo 2026-10-02 01:20:41, giờ Việt Nam lúc chạy 2026-10-02 01 giờ (CSDL InfinityFree chạy UTC-7)</t>
        </is>
      </c>
      <c r="H32" s="18" t="inlineStr">
        <is>
          <t>Đạt</t>
        </is>
      </c>
    </row>
    <row r="33">
      <c r="A33" s="18" t="inlineStr">
        <is>
          <t>TC-NV-31</t>
        </is>
      </c>
      <c r="B33" s="18" t="inlineStr">
        <is>
          <t>L1, L2</t>
        </is>
      </c>
      <c r="C33" s="18" t="inlineStr">
        <is>
          <t>Ngoại lệ – lỗi trước đây trả sai</t>
        </is>
      </c>
      <c r="D33" s="18" t="inlineStr">
        <is>
          <t>sv_hoi_quy_b5 chưa có đề tài; sv_tran_van_b chủ đề tài 1; PHP upload_max_filesize = 10M</t>
        </is>
      </c>
      <c r="E33" s="18" t="inlineStr">
        <is>
          <t>(a) POST /api/v1/de-tai với lop_hoc_phan_id = 999999; (b) nộp tệp 11 MB vào mốc 5 của đề tài 1</t>
        </is>
      </c>
      <c r="F33" s="18" t="inlineStr">
        <is>
          <t>(a) 422 VALIDATION_FAILED (trước đây lỗi 500); (b) 422 "Dung luong toi da 5 MB" (trước đây báo "Bat buoc gui tep")</t>
        </is>
      </c>
      <c r="G33" s="18" t="inlineStr">
        <is>
          <t>Máy cục bộ, 02/10/2026: (a) 422 VALIDATION_FAILED; (b) 422 (Dung luong toi da 5 MB)
Web, 02/10/2026: (a) 422 VALIDATION_FAILED (Lop hoc phan khong ton tai); (b) tệp 11 MB: chỉ chạy trên máy cục bộ</t>
        </is>
      </c>
      <c r="H33" s="18" t="inlineStr">
        <is>
          <t>Đạt</t>
        </is>
      </c>
    </row>
    <row r="34">
      <c r="A34" s="18" t="inlineStr">
        <is>
          <t>TC-NV-32</t>
        </is>
      </c>
      <c r="B34" s="18" t="inlineStr">
        <is>
          <t>Giao diện · L1</t>
        </is>
      </c>
      <c r="C34" s="18" t="inlineStr">
        <is>
          <t>Luồng chính đầu – cuối qua giao diện</t>
        </is>
      </c>
      <c r="D34" s="18" t="inlineStr">
        <is>
          <t>Trình duyệt Chrome; các tài khoản sv_hoi_quy_b5, thukykhoa, gv_nguyen_van_a, hd_pham_van_d</t>
        </is>
      </c>
      <c r="E34" s="18" t="inlineStr">
        <is>
          <t>(a) Mở /; (b) sinh viên đề xuất đề tài bằng form ở trang chủ; (c) thư ký chọn GVHD TS. Nguyễn Văn A, bấm Phân công; (d) GVHD bấm Duyệt; (e) sinh viên mở lại trang chủ, mở Báo cáo theo mốc; (f) hội đồng đăng nhập</t>
        </is>
      </c>
      <c r="F34" s="18" t="inlineStr">
        <is>
          <t>(a) Trang đăng nhập, không còn trang chào CodeIgniter; (b)–(e) mỗi bước cập nhật đúng trạng thái, GVHD và sinh viên có thông báo, có ô chọn mốc và nút Nộp báo cáo; (f) thấy khối nghiệm thu; không có lỗi JS</t>
        </is>
      </c>
      <c r="G34" s="18" t="inlineStr">
        <is>
          <t>Máy cục bộ, 02/10/2026: (a) trang đăng nhập; (b) đề tài Chờ duyệt, chờ phân công GVHD; (c) GVHD hiện tại: TS. Nguyễn Văn A; (d) Đã duyệt, GVHD có thông báo; (e) sinh viên thấy Đã duyệt, thông báo kết quả, ô chọn mốc và nút Nộp; (f) thấy khối nghiệm thu; 18/18 bước, không lỗi JS
Web, 02/10/2026: (a) / là trang đăng nhập, không còn trang chào CodeIgniter</t>
        </is>
      </c>
      <c r="H34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TRUY CẬP ĐỒNG THỜI, BẤT BIẾN DỮ LIỆU VÀ MÁY TRẠNG THÁI – BUỔI 6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TC-B6-01</t>
        </is>
      </c>
      <c r="B3" s="18" t="inlineStr">
        <is>
          <t>L1 · UC02 · T3</t>
        </is>
      </c>
      <c r="C3" s="18" t="inlineStr">
        <is>
          <t>Truy cập đồng thời</t>
        </is>
      </c>
      <c r="D3" s="18" t="inlineStr">
        <is>
          <t>Đề tài 'DEMO-DONG-THOI: de tai cho duyet' (seed_buoi6.sql) đang pending, đã gán GVHD gv_nguyen_van_a; đăng nhập gv_nguyen_van_a</t>
        </is>
      </c>
      <c r="E3" s="18" t="inlineStr">
        <is>
          <t>Gửi 50 yêu cầu POST /api/v1/de-tai/{id}/duyet cùng lúc (Promise.all), cùng một phiên đăng nhập</t>
        </is>
      </c>
      <c r="F3" s="18" t="inlineStr">
        <is>
          <t>Đúng 1 yêu cầu 200; 49 yêu cầu 422 INVALID_TRANSITION; đề tài approved; lịch sử chỉ có 1 dòng APPROVE_TOPIC</t>
        </is>
      </c>
      <c r="G3" s="18" t="inlineStr">
        <is>
          <t>Máy cục bộ, 03/10/2026: Apache XAMPP (150 luồng), MariaDB chạy giờ UTC-7 như InfinityFree. 1 × 200, 49 × 422 INVALID_TRANSITION; trạng thái approved; nhật ký APPROVE_TOPIC: 1 dòng; tổng 1,3 s (trước khi đóng phiên sớm 3,0 s vì khóa tệp phiên)
Web, 03/10/2026: đề tài DEMO ID 88; 1 × 200 (yêu cầu số 1), 49 × 422 INVALID_TRANSITION; trạng thái approved; lịch sử APPROVE_TOPIC: 1 dòng; tổng 4 197 ms (Ảnh 31)</t>
        </is>
      </c>
      <c r="H3" s="18" t="inlineStr">
        <is>
          <t>Đạt</t>
        </is>
      </c>
    </row>
    <row r="4">
      <c r="A4" s="18" t="inlineStr">
        <is>
          <t>TC-B6-02</t>
        </is>
      </c>
      <c r="B4" s="18" t="inlineStr">
        <is>
          <t>L2 · UC03 · T3</t>
        </is>
      </c>
      <c r="C4" s="18" t="inlineStr">
        <is>
          <t>Truy cập đồng thời</t>
        </is>
      </c>
      <c r="D4" s="18" t="inlineStr">
        <is>
          <t>Đề tài DEMO vừa được duyệt ở TC-B6-01, chưa có bản nộp nào; đăng nhập nhóm trưởng sv_demo_dong_thoi_1; mốc 3 của lớp còn hạn</t>
        </is>
      </c>
      <c r="E4" s="18" t="inlineStr">
        <is>
          <t>Gửi 50 yêu cầu nộp báo cáo (multipart, tệp PDF 200 KB) vào cùng mốc cùng lúc</t>
        </is>
      </c>
      <c r="F4" s="18" t="inlineStr">
        <is>
          <t>Đúng 1 yêu cầu 201; 49 yêu cầu 409 CONFLICT; chỉ 1 bản ghi bao_cao_moc; chỉ 1 tệp được lưu, không có tệp mồ côi</t>
        </is>
      </c>
      <c r="G4" s="18" t="inlineStr">
        <is>
          <t>Máy cục bộ, 03/10/2026: Apache XAMPP (150 luồng), MariaDB chạy giờ UTC-7 như InfinityFree. 1 × 201, 49 × 409 CONFLICT; bản ghi của mốc 0 → 1; tệp trong uploads/bao_cao +1; nhật ký SUBMIT_REPORT: 1 dòng
Web, 03/10/2026: 1 × 201, 49 × 409 CONFLICT; số bản nộp của mốc: 1; tổng 6 733 ms (Ảnh 31)</t>
        </is>
      </c>
      <c r="H4" s="18" t="inlineStr">
        <is>
          <t>Đạt</t>
        </is>
      </c>
    </row>
    <row r="5">
      <c r="A5" s="18" t="inlineStr">
        <is>
          <t>TC-B6-03</t>
        </is>
      </c>
      <c r="B5" s="18" t="inlineStr">
        <is>
          <t>CSDL · T3</t>
        </is>
      </c>
      <c r="C5" s="18" t="inlineStr">
        <is>
          <t>Bất biến – chuyển trạng thái sai</t>
        </is>
      </c>
      <c r="D5" s="18" t="inlineStr">
        <is>
          <t>Đã chạy cap_nhat_csdl_buoi6.sql (bảng chuyen_trang_thai_hop_le, trigger); chạy trong giao dịch rồi ROLLBACK</t>
        </is>
      </c>
      <c r="E5" s="18" t="inlineStr">
        <is>
          <t>(a) UPDATE de_tai SET trang_thai='pending' WHERE trang_thai='approved'; (b) UPDATE bao_cao_moc SET trang_thai='pending' WHERE trang_thai='approved'</t>
        </is>
      </c>
      <c r="F5" s="18" t="inlineStr">
        <is>
          <t>Cả hai bị CSDL chặn dù không đi qua ứng dụng</t>
        </is>
      </c>
      <c r="G5" s="18" t="inlineStr">
        <is>
          <t>Máy cục bộ, 03/10/2026: (a) ERROR 1644: Chuyen trang thai de tai khong hop le; (b) ERROR 1644: Chuyen trang thai bao cao khong hop le
Web, 03/10/2026: InfinityFree không cho tạo trigger (#1142 TRIGGER command denied) nên phần trigger chỉ kiểm chứng trên máy cục bộ; trên web, trạng thái ngoài danh sách bị CHECK chặn: UPDATE de_tai SET trang_thai='da_xoa' WHERE id=88 → #4025 CONSTRAINT chk_detai_trangthai failed</t>
        </is>
      </c>
      <c r="H5" s="18" t="inlineStr">
        <is>
          <t>Đạt</t>
        </is>
      </c>
    </row>
    <row r="6">
      <c r="A6" s="18" t="inlineStr">
        <is>
          <t>TC-B6-04</t>
        </is>
      </c>
      <c r="B6" s="18" t="inlineStr">
        <is>
          <t>CSDL</t>
        </is>
      </c>
      <c r="C6" s="18" t="inlineStr">
        <is>
          <t>Bất biến – nhật ký chỉ ghi thêm</t>
        </is>
      </c>
      <c r="D6" s="18" t="inlineStr">
        <is>
          <t>Như TC-B6-03</t>
        </is>
      </c>
      <c r="E6" s="18" t="inlineStr">
        <is>
          <t>(a) UPDATE nhat_ky_he_thong SET chi_tiet='x' LIMIT 1; (b) DELETE FROM nhat_ky_he_thong LIMIT 1</t>
        </is>
      </c>
      <c r="F6" s="18" t="inlineStr">
        <is>
          <t>Cả hai bị chặn</t>
        </is>
      </c>
      <c r="G6" s="18" t="inlineStr">
        <is>
          <t>Máy cục bộ, 03/10/2026: (a) ERROR 1644: Nhat ky chi duoc ghi them; (b) ERROR 1644: Nhat ky chi duoc ghi them
Web, 03/10/2026: InfinityFree không cho tạo trigger (#1142 TRIGGER command denied) nên phần trigger chỉ kiểm chứng trên máy cục bộ</t>
        </is>
      </c>
      <c r="H6" s="18" t="inlineStr">
        <is>
          <t>Đạt</t>
        </is>
      </c>
    </row>
    <row r="7">
      <c r="A7" s="18" t="inlineStr">
        <is>
          <t>TC-B6-05</t>
        </is>
      </c>
      <c r="B7" s="18" t="inlineStr">
        <is>
          <t>CSDL</t>
        </is>
      </c>
      <c r="C7" s="18" t="inlineStr">
        <is>
          <t>Bất biến – miền giá trị, duy nhất</t>
        </is>
      </c>
      <c r="D7" s="18" t="inlineStr">
        <is>
          <t>Như TC-B6-03</t>
        </is>
      </c>
      <c r="E7" s="18" t="inlineStr">
        <is>
          <t>(a) UPDATE diem_nghiem_thu SET diem = 11; (b) bỏ gvhd_id của đề tài approved; (c) thêm nhóm trưởng thứ hai cho đề tài 1; (d) hội đồng chấm trùng một đề tài</t>
        </is>
      </c>
      <c r="F7" s="18" t="inlineStr">
        <is>
          <t>Cả bốn bị chặn</t>
        </is>
      </c>
      <c r="G7" s="18" t="inlineStr">
        <is>
          <t>Máy cục bộ, 03/10/2026: (a) CONSTRAINT chk_diem_khoangdiem; (b) CONSTRAINT chk_detai_gvhd; (c) Duplicate entry cho uq_tvn_one_leader; (d) Duplicate entry cho uq_diem_detai_hoidong
Web, 03/10/2026: (a) #4025 CONSTRAINT chk_diem_khoangdiem failed; (b) đề tài 88: #4025 CONSTRAINT chk_detai_gvhd failed; (c) đề tài 88: #1062 Duplicate entry '88' for key 'uq_tvn_one_leader'; (d) chưa chạy trên web</t>
        </is>
      </c>
      <c r="H7" s="18" t="inlineStr">
        <is>
          <t>Đạt</t>
        </is>
      </c>
    </row>
    <row r="8">
      <c r="A8" s="18" t="inlineStr">
        <is>
          <t>TC-B6-06</t>
        </is>
      </c>
      <c r="B8" s="18" t="inlineStr">
        <is>
          <t>Nhóm · F2.11</t>
        </is>
      </c>
      <c r="C8" s="18" t="inlineStr">
        <is>
          <t>Bất biến – giới hạn thành viên</t>
        </is>
      </c>
      <c r="D8" s="18" t="inlineStr">
        <is>
          <t>Nhóm có nhóm trưởng; 5 sinh viên chưa thuộc nhóm nào</t>
        </is>
      </c>
      <c r="E8" s="18" t="inlineStr">
        <is>
          <t>(a) Trên CSDL: chèn 6 thành viên vào một nhóm 2 người; (b) Qua API: nhóm trưởng thêm lần lượt 4 rồi 5 sinh viên</t>
        </is>
      </c>
      <c r="F8" s="18" t="inlineStr">
        <is>
          <t>(a) Trigger chặn khi vượt 5 người; (b) 4 lần 201, lần thêm người thứ 6 trả 422 NHOM_DA_DU (không phải 500)</t>
        </is>
      </c>
      <c r="G8" s="18" t="inlineStr">
        <is>
          <t>Máy cục bộ, 03/10/2026: (a) ERROR 1644: Nhom da du so thanh vien toi da, nhóm vẫn 2 người; (b) 201, 201, 201, 201, rồi 422 NHOM_DA_DU; nhóm 5 người
Web, 03/10/2026: InfinityFree không cho tạo trigger (#1142 TRIGGER command denied) nên phần trigger chỉ kiểm chứng trên máy cục bộ (phần a); phần API (b) chưa chạy trên web</t>
        </is>
      </c>
      <c r="H8" s="18" t="inlineStr">
        <is>
          <t>Đạt</t>
        </is>
      </c>
    </row>
    <row r="9">
      <c r="A9" s="18" t="inlineStr">
        <is>
          <t>TC-B6-07</t>
        </is>
      </c>
      <c r="B9" s="18" t="inlineStr">
        <is>
          <t>L1 · UC02</t>
        </is>
      </c>
      <c r="C9" s="18" t="inlineStr">
        <is>
          <t>Chuyển trạng thái hợp lệ vẫn chạy</t>
        </is>
      </c>
      <c r="D9" s="18" t="inlineStr">
        <is>
          <t>Đề tài 42 rejected, chủ đề tài sv24100120</t>
        </is>
      </c>
      <c r="E9" s="18" t="inlineStr">
        <is>
          <t>(a) Trên CSDL: UPDATE de_tai SET trang_thai='pending' WHERE trang_thai='rejected' (rồi ROLLBACK); (b) Qua API: PATCH /api/v1/de-tai/42 sửa mô tả</t>
        </is>
      </c>
      <c r="F9" s="18" t="inlineStr">
        <is>
          <t>(a) Không lỗi; (b) 200, đề tài về pending, lịch sử có dòng RESUBMIT_TOPIC</t>
        </is>
      </c>
      <c r="G9" s="18" t="inlineStr">
        <is>
          <t>Máy cục bộ, 03/10/2026: (a) không lỗi; (b) 200, pending; lịch sử: REJECT_TOPIC → rejected, RESUBMIT_TOPIC rejected → pending</t>
        </is>
      </c>
      <c r="H9" s="18" t="inlineStr">
        <is>
          <t>Đạt</t>
        </is>
      </c>
    </row>
    <row r="10">
      <c r="A10" s="18" t="inlineStr">
        <is>
          <t>TC-B6-08</t>
        </is>
      </c>
      <c r="B10" s="18" t="inlineStr">
        <is>
          <t>F3.10</t>
        </is>
      </c>
      <c r="C10" s="18" t="inlineStr">
        <is>
          <t>Lịch sử trạng thái đúng từng bước</t>
        </is>
      </c>
      <c r="D10" s="18" t="inlineStr">
        <is>
          <t>Sau khi chạy bộ TC-NV Buổi 5</t>
        </is>
      </c>
      <c r="E10" s="18" t="inlineStr">
        <is>
          <t>GET /api/v1/de-tai/1/lich-su; /de-tai/42/lich-su; /bao-cao-moc/{bản nộp đầu}/lich-su; /bao-cao-moc/{bản nộp lại}/lich-su</t>
        </is>
      </c>
      <c r="F10" s="18" t="inlineStr">
        <is>
          <t>Mỗi đối tượng chỉ có các bước của chính nó (đề tài 1 không lẫn đề tài 14, 10…); tu_trang_thai → den_trang_thai đúng thứ tự</t>
        </is>
      </c>
      <c r="G10" s="18" t="inlineStr">
        <is>
          <t>Máy cục bộ, 03/10/2026: đề tài 1: không có dòng của đề tài khác; đề tài 42: rejected → pending; báo cáo 78: pending → revision_requested; báo cáo 80: pending → approved</t>
        </is>
      </c>
      <c r="H10" s="18" t="inlineStr">
        <is>
          <t>Đạt</t>
        </is>
      </c>
    </row>
    <row r="11">
      <c r="A11" s="18" t="inlineStr">
        <is>
          <t>TC-B6-09</t>
        </is>
      </c>
      <c r="B11" s="18" t="inlineStr">
        <is>
          <t>F3.10</t>
        </is>
      </c>
      <c r="C11" s="18" t="inlineStr">
        <is>
          <t>Phân quyền trên đối tượng</t>
        </is>
      </c>
      <c r="D11" s="18" t="inlineStr">
        <is>
          <t>Sinh viên sv_chua_co_nhom không thuộc nhóm đề tài 1</t>
        </is>
      </c>
      <c r="E11" s="18" t="inlineStr">
        <is>
          <t>GET /api/v1/de-tai/1/lich-su và /bao-cao-moc/78/lich-su bằng sinh viên nhóm khác; gọi khi chưa đăng nhập</t>
        </is>
      </c>
      <c r="F11" s="18" t="inlineStr">
        <is>
          <t>Sinh viên nhóm khác 403; khách 401</t>
        </is>
      </c>
      <c r="G11" s="18" t="inlineStr">
        <is>
          <t>Máy cục bộ, 03/10/2026: sinh viên nhóm khác: 403, 403; khách: 401</t>
        </is>
      </c>
      <c r="H11" s="18" t="inlineStr">
        <is>
          <t>Đạt</t>
        </is>
      </c>
    </row>
    <row r="12">
      <c r="A12" s="18" t="inlineStr">
        <is>
          <t>TC-B6-10</t>
        </is>
      </c>
      <c r="B12" s="18" t="inlineStr">
        <is>
          <t>L1, L2 · T3</t>
        </is>
      </c>
      <c r="C12" s="18" t="inlineStr">
        <is>
          <t>Máy trạng thái qua API</t>
        </is>
      </c>
      <c r="D12" s="18" t="inlineStr">
        <is>
          <t>Đề tài 1 in_progress; báo cáo 1 approved</t>
        </is>
      </c>
      <c r="E12" s="18" t="inlineStr">
        <is>
          <t>Chạy lại TC-NV-07 (duyệt/từ chối đề tài in_progress) và TC-NV-14 (duyệt, yêu cầu bổ sung, nộp lại báo cáo approved)</t>
        </is>
      </c>
      <c r="F12" s="18" t="inlineStr">
        <is>
          <t>422 INVALID_TRANSITION, trạng thái không đổi</t>
        </is>
      </c>
      <c r="G12" s="18" t="inlineStr">
        <is>
          <t>Máy cục bộ, 03/10/2026: TC-NV-07: 422, 422, đề tài 1 vẫn in_progress; TC-NV-14: 422, 422, 422, báo cáo 1 vẫn approved</t>
        </is>
      </c>
      <c r="H12" s="18" t="inlineStr">
        <is>
          <t>Đạt</t>
        </is>
      </c>
    </row>
    <row r="13">
      <c r="A13" s="18" t="inlineStr">
        <is>
          <t>TC-B6-11</t>
        </is>
      </c>
      <c r="B13" s="18" t="inlineStr">
        <is>
          <t>CSDL</t>
        </is>
      </c>
      <c r="C13" s="18" t="inlineStr">
        <is>
          <t>Đối soát dữ liệu</t>
        </is>
      </c>
      <c r="D13" s="18" t="inlineStr">
        <is>
          <t>doi_soat.sql của V2</t>
        </is>
      </c>
      <c r="E13" s="18" t="inlineStr">
        <is>
          <t>(a) Phần A trước khi chạy cap_nhat_csdl_buoi6.sql; (b) phần B sau khi chạy toàn bộ bộ kiểm thử</t>
        </is>
      </c>
      <c r="F13" s="18" t="inlineStr">
        <is>
          <t>Cả hai ra 0 dòng</t>
        </is>
      </c>
      <c r="G13" s="18" t="inlineStr">
        <is>
          <t>Máy cục bộ, 03/10/2026: (a) 0 dòng; (b) 0 dòng</t>
        </is>
      </c>
      <c r="H13" s="18" t="inlineStr">
        <is>
          <t>Đạt</t>
        </is>
      </c>
    </row>
    <row r="14">
      <c r="A14" s="18" t="inlineStr">
        <is>
          <t>TC-B6-12</t>
        </is>
      </c>
      <c r="B14" s="18" t="inlineStr">
        <is>
          <t>Hồi quy</t>
        </is>
      </c>
      <c r="C14" s="18" t="inlineStr">
        <is>
          <t>Hồi quy</t>
        </is>
      </c>
      <c r="D14" s="18" t="inlineStr">
        <is>
          <t>Bản develop đã ghép code V2, V3 Buổi 6 và PhanQuyenFilter đóng phiên sớm</t>
        </is>
      </c>
      <c r="E14" s="18" t="inlineStr">
        <is>
          <t>Chạy lại 17 ca TC-NV Buổi 5, kiểm tra API bổ sung, giao diện Chrome, unit test TrangThaiWorkflowTest</t>
        </is>
      </c>
      <c r="F14" s="18" t="inlineStr">
        <is>
          <t>Không phát sinh lỗi hồi quy</t>
        </is>
      </c>
      <c r="G14" s="18" t="inlineStr">
        <is>
          <t>Máy cục bộ, 03/10/2026: TC-NV-01 → 17: Đạt; giao diện 18/18; unit test 5/5 (OK, 7 assertions); trước khi sửa code V3, TC-NV-09, 10, 13 trượt vì nộp báo cáo lỗi 500
Sau khi thêm luồng 3 (CSDL dựng lại sạch): TC-NV-01 → 17: Đạt; kiểm tra API 77/77; giao diện 18/18; unit test 8/8 (OK, 13 assertions); TC-B6-01, 02 chạy lại: 1×200 + 49×422 và 1×201 + 49×409, đề tài sang in_progress đúng 1 lần</t>
        </is>
      </c>
      <c r="H14" s="18" t="inlineStr">
        <is>
          <t>Đạt</t>
        </is>
      </c>
    </row>
    <row r="15">
      <c r="A15" s="18" t="inlineStr">
        <is>
          <t>TC-B6-13</t>
        </is>
      </c>
      <c r="B15" s="18" t="inlineStr">
        <is>
          <t>L3 · UC06 · T3</t>
        </is>
      </c>
      <c r="C15" s="18" t="inlineStr">
        <is>
          <t>Chuyển trạng thái tự động</t>
        </is>
      </c>
      <c r="D15" s="18" t="inlineStr">
        <is>
          <t>Lớp mới có 2 mốc bắt buộc + 1 mốc tự chọn; đề tài vừa được GVHD duyệt (approved)</t>
        </is>
      </c>
      <c r="E15" s="18" t="inlineStr">
        <is>
          <t>Nhóm trưởng nộp mốc 1, mốc tự chọn; GVHD duyệt mốc 1; mốc 2 bị yêu cầu bổ sung rồi nộp lại; GVHD duyệt bản nộp lại của mốc 2; duyệt mốc tự chọn</t>
        </is>
      </c>
      <c r="F15" s="18" t="inlineStr">
        <is>
          <t>Nộp bản đầu tiên: approved → in_progress. Còn thiếu mốc bắt buộc (kể cả mốc đang bị yêu cầu bổ sung): vẫn in_progress. Duyệt mốc bắt buộc cuối cùng: completed, ghi TOPIC_READY, thông báo nhóm trưởng. Mốc tự chọn không ảnh hưởng</t>
        </is>
      </c>
      <c r="G15" s="18" t="inlineStr">
        <is>
          <t>Máy cục bộ, 03/10/2026: nộp đầu 201, in_progress; nộp mốc tự chọn 201, in_progress; duyệt mốc 1: 200, in_progress; mốc 2 yêu cầu bổ sung: in_progress; duyệt bản nộp lại mốc 2: 200, completed; duyệt mốc tự chọn sau: 200, vẫn completed</t>
        </is>
      </c>
      <c r="H15" s="18" t="inlineStr">
        <is>
          <t>Đạt</t>
        </is>
      </c>
    </row>
    <row r="16">
      <c r="A16" s="18" t="inlineStr">
        <is>
          <t>TC-B6-14</t>
        </is>
      </c>
      <c r="B16" s="18" t="inlineStr">
        <is>
          <t>L3 · F4.1, F4.2</t>
        </is>
      </c>
      <c r="C16" s="18" t="inlineStr">
        <is>
          <t>Phân quyền theo trạng thái</t>
        </is>
      </c>
      <c r="D16" s="18" t="inlineStr">
        <is>
          <t>Như TC-B6-13; đăng nhập hd_pham_van_d</t>
        </is>
      </c>
      <c r="E16" s="18" t="inlineStr">
        <is>
          <t>Khi đề tài còn approved: GET /de-tai/{id}/ho-so-nghiem-thu, POST /diem-nghiem-thu. Khi completed: GET /nghiem-thu/ho-so?trang_thai=completed, GET hồ sơ; GVHD gọi GET hồ sơ</t>
        </is>
      </c>
      <c r="F16" s="18" t="inlineStr">
        <is>
          <t>Chưa đủ điều kiện: hồ sơ 403, chấm 422 INVALID_TRANSITION. Đủ điều kiện: danh sách có đề tài; hồ sơ có bản nộp mới nhất từng mốc kèm nhận xét GVHD. GVHD gọi API hồ sơ: 403</t>
        </is>
      </c>
      <c r="G16" s="18" t="inlineStr">
        <is>
          <t>Máy cục bộ, 03/10/2026: approved: 403; chấm 422 INVALID_TRANSITION. completed: danh sách 200 có đề tài; hồ sơ 200 có nhận xét 'Dat moc 2'; GVHD: 403</t>
        </is>
      </c>
      <c r="H16" s="18" t="inlineStr">
        <is>
          <t>Đạt</t>
        </is>
      </c>
    </row>
    <row r="17">
      <c r="A17" s="18" t="inlineStr">
        <is>
          <t>TC-B6-15</t>
        </is>
      </c>
      <c r="B17" s="18" t="inlineStr">
        <is>
          <t>L3 · UC06 · F4.3</t>
        </is>
      </c>
      <c r="C17" s="18" t="inlineStr">
        <is>
          <t>Ngoại lệ – điểm sai</t>
        </is>
      </c>
      <c r="D17" s="18" t="inlineStr">
        <is>
          <t>Đề tài completed; đăng nhập hội đồng</t>
        </is>
      </c>
      <c r="E17" s="18" t="inlineStr">
        <is>
          <t>POST /api/v1/de-tai/{id}/diem-nghiem-thu với diem = 11; diem = -1; diem = "abc"</t>
        </is>
      </c>
      <c r="F17" s="18" t="inlineStr">
        <is>
          <t>422 DIEM_NGOAI_KHOANG cho 11 và -1; 422 VALIDATION_FAILED cho chữ; không lưu điểm</t>
        </is>
      </c>
      <c r="G17" s="18" t="inlineStr">
        <is>
          <t>Máy cục bộ, 03/10/2026: 11: 422 DIEM_NGOAI_KHOANG; -1: 422 DIEM_NGOAI_KHOANG; "abc": 422 VALIDATION_FAILED</t>
        </is>
      </c>
      <c r="H17" s="18" t="inlineStr">
        <is>
          <t>Đạt</t>
        </is>
      </c>
    </row>
    <row r="18">
      <c r="A18" s="18" t="inlineStr">
        <is>
          <t>TC-B6-16</t>
        </is>
      </c>
      <c r="B18" s="18" t="inlineStr">
        <is>
          <t>L3 · F4.3, F4.5</t>
        </is>
      </c>
      <c r="C18" s="18" t="inlineStr">
        <is>
          <t>Phân quyền theo vai trò</t>
        </is>
      </c>
      <c r="D18" s="18" t="inlineStr">
        <is>
          <t>Đề tài completed</t>
        </is>
      </c>
      <c r="E18" s="18" t="inlineStr">
        <is>
          <t>GVHD phụ trách gọi POST /diem-nghiem-thu; thành viên hội đồng gọi POST /chot-nghiem-thu</t>
        </is>
      </c>
      <c r="F18" s="18" t="inlineStr">
        <is>
          <t>403 cả hai; không đổi dữ liệu</t>
        </is>
      </c>
      <c r="G18" s="18" t="inlineStr">
        <is>
          <t>Máy cục bộ, 03/10/2026: GVHD chấm: 403; hội đồng chốt: 403</t>
        </is>
      </c>
      <c r="H18" s="18" t="inlineStr">
        <is>
          <t>Đạt</t>
        </is>
      </c>
    </row>
    <row r="19">
      <c r="A19" s="18" t="inlineStr">
        <is>
          <t>TC-B6-17</t>
        </is>
      </c>
      <c r="B19" s="18" t="inlineStr">
        <is>
          <t>L3 · UC06 · T3</t>
        </is>
      </c>
      <c r="C19" s="18" t="inlineStr">
        <is>
          <t>Truy cập đồng thời – chấm trùng</t>
        </is>
      </c>
      <c r="D19" s="18" t="inlineStr">
        <is>
          <t>Đề tài completed; hội đồng 1 đã chấm 8; hội đồng 2 chưa chấm</t>
        </is>
      </c>
      <c r="E19" s="18" t="inlineStr">
        <is>
          <t>Hội đồng 1 gửi lại POST /diem-nghiem-thu; hội đồng 2 gửi 10 yêu cầu chấm cùng lúc (Apache, cùng phiên)</t>
        </is>
      </c>
      <c r="F19" s="18" t="inlineStr">
        <is>
          <t>Lần chấm thứ hai: 409 CONFLICT. 10 yêu cầu đồng thời: đúng 1 lần 201, 9 lần 409, đúng 1 dòng điểm của hội đồng 2</t>
        </is>
      </c>
      <c r="G19" s="18" t="inlineStr">
        <is>
          <t>Máy cục bộ, 03/10/2026: chấm lại: 409 CONFLICT; đồng thời: 1×201 + 9×409, 1 dòng điểm</t>
        </is>
      </c>
      <c r="H19" s="18" t="inlineStr">
        <is>
          <t>Đạt</t>
        </is>
      </c>
    </row>
    <row r="20">
      <c r="A20" s="18" t="inlineStr">
        <is>
          <t>TC-B6-18</t>
        </is>
      </c>
      <c r="B20" s="18" t="inlineStr">
        <is>
          <t>L3 · UC06 · F4.5</t>
        </is>
      </c>
      <c r="C20" s="18" t="inlineStr">
        <is>
          <t>Luồng chính – chốt nghiệm thu</t>
        </is>
      </c>
      <c r="D20" s="18" t="inlineStr">
        <is>
          <t>Đề tài completed chưa có điểm, sau đó có 2 lượt chấm (8 và 7); đăng nhập thukykhoa</t>
        </is>
      </c>
      <c r="E20" s="18" t="inlineStr">
        <is>
          <t>Chốt khi chưa có điểm; chốt sau khi có 2 lượt; chốt lại lần hai; hội đồng thứ ba chấm sau khi đã chốt</t>
        </is>
      </c>
      <c r="F20" s="18" t="inlineStr">
        <is>
          <t>Chưa có điểm: 422 CHUA_CO_DIEM. Chốt: 200, đề tài accepted, điểm TB 7,5, ghi ACCEPT_TOPIC, thông báo nhóm trưởng và GVHD. Chốt lại, chấm thêm: 422 INVALID_TRANSITION</t>
        </is>
      </c>
      <c r="G20" s="18" t="inlineStr">
        <is>
          <t>Máy cục bộ, 03/10/2026: chưa có điểm: 422 CHUA_CO_DIEM; chốt: 200, accepted, TB 7.5; chốt lại: 422 INVALID_TRANSITION; chấm sau khi chốt: 422 INVALID_TRANSITION</t>
        </is>
      </c>
      <c r="H20" s="18" t="inlineStr">
        <is>
          <t>Đạt</t>
        </is>
      </c>
    </row>
    <row r="21">
      <c r="A21" s="18" t="inlineStr">
        <is>
          <t>TC-B6-19</t>
        </is>
      </c>
      <c r="B21" s="18" t="inlineStr">
        <is>
          <t>L3 · F4.4</t>
        </is>
      </c>
      <c r="C21" s="18" t="inlineStr">
        <is>
          <t>Phạm vi xem điểm</t>
        </is>
      </c>
      <c r="D21" s="18" t="inlineStr">
        <is>
          <t>Như TC-B6-18</t>
        </is>
      </c>
      <c r="E21" s="18" t="inlineStr">
        <is>
          <t>Trước khi chốt: nhóm trưởng, hội đồng 2 gọi GET /diem-nghiem-thu; GV không phụ trách, sinh viên nhóm khác gọi GET. Sau khi chốt: nhóm trưởng, GVHD phụ trách gọi GET</t>
        </is>
      </c>
      <c r="F21" s="18" t="inlineStr">
        <is>
          <t>Trước khi chốt: sinh viên 200 cong_bo = false, không có điểm; hội đồng thấy điểm. GV không phụ trách, sinh viên nhóm khác: 403. Sau khi chốt: sinh viên, GVHD 200 cong_bo = true, TB 7,5</t>
        </is>
      </c>
      <c r="G21" s="18" t="inlineStr">
        <is>
          <t>Máy cục bộ, 03/10/2026: trước chốt: SV 200/false; hội đồng 200, 1 điểm; GV không phụ trách 403; SV nhóm khác 403. Sau chốt: SV 200/true/7.5; GVHD 200/true</t>
        </is>
      </c>
      <c r="H21" s="18" t="inlineStr">
        <is>
          <t>Đạt</t>
        </is>
      </c>
    </row>
    <row r="22">
      <c r="A22" s="18" t="inlineStr">
        <is>
          <t>TC-B6-20</t>
        </is>
      </c>
      <c r="B22" s="18" t="inlineStr">
        <is>
          <t>L3 · F3.10</t>
        </is>
      </c>
      <c r="C22" s="18" t="inlineStr">
        <is>
          <t>Lịch sử, nhật ký, thông báo</t>
        </is>
      </c>
      <c r="D22" s="18" t="inlineStr">
        <is>
          <t>Sau TC-B6-13 → 19</t>
        </is>
      </c>
      <c r="E22" s="18" t="inlineStr">
        <is>
          <t>GET /api/v1/de-tai/{id}/lich-su; truy vấn nhat_ky_he_thong, thong_bao của đề tài</t>
        </is>
      </c>
      <c r="F22" s="18" t="inlineStr">
        <is>
          <t>Lịch sử: pending → approved → in_progress → completed → accepted. Nhật ký: START_TOPIC, TOPIC_READY, GRADE_TOPIC ×2, ACCEPT_TOPIC. Thông báo: đủ điều kiện (nhóm trưởng), kết quả nghiệm thu (nhóm trưởng, GVHD)</t>
        </is>
      </c>
      <c r="G22" s="18" t="inlineStr">
        <is>
          <t>Máy cục bộ, 03/10/2026: lịch sử đúng 5 trạng thái; nhật ký START_TOPIC, TOPIC_READY, GRADE_TOPIC, GRADE_TOPIC, ACCEPT_TOPIC; 3 thông báo</t>
        </is>
      </c>
      <c r="H22" s="18" t="inlineStr">
        <is>
          <t>Đạt</t>
        </is>
      </c>
    </row>
    <row r="23">
      <c r="A23" s="18" t="inlineStr">
        <is>
          <t>TC-B6-21</t>
        </is>
      </c>
      <c r="B23" s="18" t="inlineStr">
        <is>
          <t>L3 · Giao diện</t>
        </is>
      </c>
      <c r="C23" s="18" t="inlineStr">
        <is>
          <t>Giao diện luồng 3</t>
        </is>
      </c>
      <c r="D23" s="18" t="inlineStr">
        <is>
          <t>Đề tài completed (dựng bằng API như TC-B6-13); Chrome chạy ẩn</t>
        </is>
      </c>
      <c r="E23" s="18" t="inlineStr">
        <is>
          <t>hd_ly_quang_vinh mở hồ sơ, nhập 11 rồi 8.5; nhóm trưởng xem điểm; thukykhoa chốt ở khối 'Chốt kết quả nghiệm thu'; nhóm trưởng, GVHD xem lại</t>
        </is>
      </c>
      <c r="F23" s="18" t="inlineStr">
        <is>
          <t>Hồ sơ hiện GVHD, nhóm, mốc kèm nhận xét; điểm 11 hiện lỗi; gửi 8.5 xong form ẩn. Sinh viên chưa thấy điểm trước khi chốt. Sau khi chốt: nhãn 'Đã nghiệm thu', sinh viên và GVHD thấy điểm TB 8.5; không lỗi JS</t>
        </is>
      </c>
      <c r="G23" s="18" t="inlineStr">
        <is>
          <t>Máy cục bộ, 03/10/2026: 17/17 kiểm tra Đạt, không có lỗi JS / console</t>
        </is>
      </c>
      <c r="H23" s="18" t="inlineStr">
        <is>
          <t>Đạt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2"/>
    <row r="3">
      <c r="A3" s="19" t="inlineStr">
        <is>
          <t>Số chức năng trong ma trận</t>
        </is>
      </c>
      <c r="B3" s="20">
        <f>SUMPRODUCT(--(LEFT('Ma tran phan quyen'!A6:A51,1)="F"))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B5'!A3:A34)+COUNTA('Ca kiem thu Buoi 6'!A3:A23)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B5'!G3:G34,"&lt;&gt;Chưa chạy")+COUNTIF('Ca kiem thu Buoi 6'!G3:G23,"&lt;&gt;Chưa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B5'!H3:H34,"Đạt")+COUNTIF('Ca kiem thu Buoi 6'!H3:H23,"Đạt")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 và thao tác dữ liệu)</t>
        </is>
      </c>
      <c r="B10" s="20">
        <f>COUNTA('Ca kiem thu nghiep vu B5'!A3:A34)</f>
        <v/>
      </c>
    </row>
    <row r="11">
      <c r="A11" s="19" t="inlineStr">
        <is>
          <t>Số ca Buổi 6 (đồng thời, bất biến, lịch sử, luồng 3)</t>
        </is>
      </c>
      <c r="B11" s="20">
        <f>COUNTA('Ca kiem thu Buoi 6'!A3:A23)</f>
        <v/>
      </c>
    </row>
    <row r="12">
      <c r="A1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2026-10-03T14:55:14Z</dcterms:modified>
  <cp:lastModifiedBy>Nguyễn Minh Hải</cp:lastModifiedBy>
</cp:coreProperties>
</file>