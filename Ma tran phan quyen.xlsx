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Tong hop" sheetId="4" state="visible" r:id="rId4"/>
    <sheet xmlns:r="http://schemas.openxmlformats.org/officeDocument/2006/relationships" name="Kiem thu CSDL buoi 3" sheetId="5" state="visible" r:id="rId5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inlineStr">
        <is>
          <t>Người lập: Nguyễn Minh Hải (24100173) – V4 Phụ trách bảo mật và kiểm thử</t>
        </is>
      </c>
    </row>
    <row r="3">
      <c r="A3" s="3" t="inlineStr">
        <is>
          <t>Quy ước: Có = mọi bản ghi · Nhóm mình / Nhóm phụ trách / Của mình / Trong phạm vi / Đủ ĐK nghiệm thu = kiểm tra quyền trên đúng bản ghi (BM4) · Không = bị chặn, mỗi ô là 1 ca kiểm thử · — = không áp dụng</t>
        </is>
      </c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6" t="n"/>
      <c r="C6" s="6" t="n"/>
      <c r="D6" s="6" t="n"/>
      <c r="E6" s="7" t="n"/>
      <c r="F6" s="7" t="n"/>
      <c r="G6" s="7" t="n"/>
      <c r="H6" s="7" t="n"/>
      <c r="I6" s="7" t="n"/>
      <c r="J6" s="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 /api/v1/nguoi-dung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6" t="n"/>
      <c r="C13" s="6" t="n"/>
      <c r="D13" s="6" t="n"/>
      <c r="E13" s="7" t="n"/>
      <c r="F13" s="7" t="n"/>
      <c r="G13" s="7" t="n"/>
      <c r="H13" s="7" t="n"/>
      <c r="I13" s="7" t="n"/>
      <c r="J13" s="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POST /api/v1/nhom-sinh-vien · GET /api/v1/nhom-sinh-vien/{id}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.../thanh-vien · DELETE .../thanh-vien/{svId}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6" t="n"/>
      <c r="C25" s="6" t="n"/>
      <c r="D25" s="6" t="n"/>
      <c r="E25" s="7" t="n"/>
      <c r="F25" s="7" t="n"/>
      <c r="G25" s="7" t="n"/>
      <c r="H25" s="7" t="n"/>
      <c r="I25" s="7" t="n"/>
      <c r="J25" s="7" t="n"/>
    </row>
    <row r="26">
      <c r="A26" s="6" t="inlineStr">
        <is>
          <t>F3.1</t>
        </is>
      </c>
      <c r="B26" s="6" t="inlineStr">
        <is>
          <t>Cấu hình mốc thời gian chung</t>
        </is>
      </c>
      <c r="C26" s="6" t="inlineStr">
        <is>
          <t>YCCN-08</t>
        </is>
      </c>
      <c r="D26" s="6" t="inlineStr">
        <is>
          <t>POST /api/v1/moc-thoi-gian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mốc</t>
        </is>
      </c>
      <c r="C27" s="6" t="inlineStr">
        <is>
          <t>YCCN-08</t>
        </is>
      </c>
      <c r="D27" s="6" t="inlineStr">
        <is>
          <t>GET /api/v1/moc-thoi-gian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lại, ghi đè khi mốc còn mở</t>
        </is>
      </c>
      <c r="C30" s="6" t="inlineStr">
        <is>
          <t>YCCN-09</t>
        </is>
      </c>
      <c r="D30" s="6" t="inlineStr">
        <is>
          <t>PUT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chi tiết báo cáo mốc</t>
        </is>
      </c>
      <c r="C31" s="6" t="inlineStr">
        <is>
          <t>—</t>
        </is>
      </c>
      <c r="D31" s="6" t="inlineStr">
        <is>
          <t>GET /api/v1/bao-cao-moc/{id}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5" t="inlineStr">
        <is>
          <t>M4. Nghiệm thu &amp; đánh giá cuối kỳ (K3)</t>
        </is>
      </c>
      <c r="B36" s="6" t="n"/>
      <c r="C36" s="6" t="n"/>
      <c r="D36" s="6" t="n"/>
      <c r="E36" s="7" t="n"/>
      <c r="F36" s="7" t="n"/>
      <c r="G36" s="7" t="n"/>
      <c r="H36" s="7" t="n"/>
      <c r="I36" s="7" t="n"/>
      <c r="J36" s="7" t="n"/>
    </row>
    <row r="37">
      <c r="A37" s="6" t="inlineStr">
        <is>
          <t>F4.1</t>
        </is>
      </c>
      <c r="B37" s="6" t="inlineStr">
        <is>
          <t>Danh sách hồ sơ đủ điều kiện nghiệm thu</t>
        </is>
      </c>
      <c r="C37" s="6" t="inlineStr">
        <is>
          <t>YCCN-19</t>
        </is>
      </c>
      <c r="D37" s="6" t="inlineStr">
        <is>
          <t>GET /api/v1/nghiem-thu/ho-so?page=&amp;size=</t>
        </is>
      </c>
      <c r="E37" s="11" t="inlineStr">
        <is>
          <t>Không</t>
        </is>
      </c>
      <c r="F37" s="11" t="inlineStr">
        <is>
          <t>Không</t>
        </is>
      </c>
      <c r="G37" s="11" t="inlineStr">
        <is>
          <t>Không</t>
        </is>
      </c>
      <c r="H37" s="11" t="inlineStr">
        <is>
          <t>Không</t>
        </is>
      </c>
      <c r="I37" s="8" t="inlineStr">
        <is>
          <t>Có</t>
        </is>
      </c>
      <c r="J37" s="10" t="inlineStr">
        <is>
          <t>G4</t>
        </is>
      </c>
    </row>
    <row r="38">
      <c r="A38" s="6" t="inlineStr">
        <is>
          <t>F4.2</t>
        </is>
      </c>
      <c r="B38" s="6" t="inlineStr">
        <is>
          <t>Xem chi tiết hồ sơ nghiệm thu</t>
        </is>
      </c>
      <c r="C38" s="6" t="inlineStr">
        <is>
          <t>YCCN-19</t>
        </is>
      </c>
      <c r="D38" s="6" t="inlineStr">
        <is>
          <t>GET /api/v1/de-tai/{id}/ho-so-nghiem-thu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12" t="inlineStr">
        <is>
          <t>Đủ ĐK nghiệm thu</t>
        </is>
      </c>
      <c r="J38" s="10" t="inlineStr">
        <is>
          <t>G4</t>
        </is>
      </c>
    </row>
    <row r="39">
      <c r="A39" s="6" t="inlineStr">
        <is>
          <t>F4.3</t>
        </is>
      </c>
      <c r="B39" s="6" t="inlineStr">
        <is>
          <t>Chấm điểm nghiệm thu</t>
        </is>
      </c>
      <c r="C39" s="6" t="inlineStr">
        <is>
          <t>YCCN-19</t>
        </is>
      </c>
      <c r="D39" s="6" t="inlineStr">
        <is>
          <t>POST /api/v1/de-tai/{id}/diem-nghiem-thu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F4.4</t>
        </is>
      </c>
      <c r="B40" s="6" t="inlineStr">
        <is>
          <t>Xem điểm nghiệm thu đã chấm</t>
        </is>
      </c>
      <c r="C40" s="6" t="inlineStr">
        <is>
          <t>—</t>
        </is>
      </c>
      <c r="D40" s="6" t="inlineStr">
        <is>
          <t>GET /api/v1/de-tai/{id}/diem-nghiem-thu</t>
        </is>
      </c>
      <c r="E40" s="11" t="inlineStr">
        <is>
          <t>Không</t>
        </is>
      </c>
      <c r="F40" s="12" t="inlineStr">
        <is>
          <t>Chủ đề tài</t>
        </is>
      </c>
      <c r="G40" s="12" t="inlineStr">
        <is>
          <t>Nhóm phụ trách</t>
        </is>
      </c>
      <c r="H40" s="8" t="inlineStr">
        <is>
          <t>Có</t>
        </is>
      </c>
      <c r="I40" s="8" t="inlineStr">
        <is>
          <t>Có</t>
        </is>
      </c>
      <c r="J40" s="10" t="inlineStr">
        <is>
          <t>G10</t>
        </is>
      </c>
    </row>
    <row r="41">
      <c r="A41" s="5" t="inlineStr">
        <is>
          <t>M5. Thống kê, báo cáo &amp; nhật ký (K7, K8)</t>
        </is>
      </c>
      <c r="B41" s="6" t="n"/>
      <c r="C41" s="6" t="n"/>
      <c r="D41" s="6" t="n"/>
      <c r="E41" s="7" t="n"/>
      <c r="F41" s="7" t="n"/>
      <c r="G41" s="7" t="n"/>
      <c r="H41" s="7" t="n"/>
      <c r="I41" s="7" t="n"/>
      <c r="J41" s="7" t="n"/>
    </row>
    <row r="42">
      <c r="A42" s="6" t="inlineStr">
        <is>
          <t>F5.1</t>
        </is>
      </c>
      <c r="B42" s="6" t="inlineStr">
        <is>
          <t>Thống kê tiến độ toàn khoa</t>
        </is>
      </c>
      <c r="C42" s="6" t="inlineStr">
        <is>
          <t>YCCN-17</t>
        </is>
      </c>
      <c r="D42" s="6" t="inlineStr">
        <is>
          <t>GET /api/v1/thong-ke/tien-do?lop=&amp;gvhd_id=&amp;tu_ngay=&amp;den_ngay=</t>
        </is>
      </c>
      <c r="E42" s="11" t="inlineStr">
        <is>
          <t>Không</t>
        </is>
      </c>
      <c r="F42" s="11" t="inlineStr">
        <is>
          <t>Không</t>
        </is>
      </c>
      <c r="G42" s="12" t="inlineStr">
        <is>
          <t>Trong phạm vi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G6</t>
        </is>
      </c>
    </row>
    <row r="43">
      <c r="A43" s="6" t="inlineStr">
        <is>
          <t>F5.2</t>
        </is>
      </c>
      <c r="B43" s="6" t="inlineStr">
        <is>
          <t>Xuất báo cáo thống kê CSV/Excel</t>
        </is>
      </c>
      <c r="C43" s="6" t="inlineStr">
        <is>
          <t>YCCN-18</t>
        </is>
      </c>
      <c r="D43" s="6" t="inlineStr">
        <is>
          <t>GET /api/v1/thong-ke/tien-do/xuat?dinh_dang=csv</t>
        </is>
      </c>
      <c r="E43" s="11" t="inlineStr">
        <is>
          <t>Không</t>
        </is>
      </c>
      <c r="F43" s="11" t="inlineStr">
        <is>
          <t>Không</t>
        </is>
      </c>
      <c r="G43" s="11" t="inlineStr">
        <is>
          <t>Không</t>
        </is>
      </c>
      <c r="H43" s="8" t="inlineStr">
        <is>
          <t>Có</t>
        </is>
      </c>
      <c r="I43" s="11" t="inlineStr">
        <is>
          <t>Không</t>
        </is>
      </c>
      <c r="J43" s="10" t="inlineStr">
        <is>
          <t>G1</t>
        </is>
      </c>
    </row>
    <row r="44">
      <c r="A44" s="6" t="inlineStr">
        <is>
          <t>F5.3</t>
        </is>
      </c>
      <c r="B44" s="6" t="inlineStr">
        <is>
          <t>Tra cứu nhật ký hệ thống</t>
        </is>
      </c>
      <c r="C44" s="6" t="inlineStr">
        <is>
          <t>YCCN-20</t>
        </is>
      </c>
      <c r="D44" s="6" t="inlineStr">
        <is>
          <t>GET /api/v1/nhat-ky-he-thong?nguoi_dung_id=&amp;hanh_dong=</t>
        </is>
      </c>
      <c r="E44" s="11" t="inlineStr">
        <is>
          <t>Không</t>
        </is>
      </c>
      <c r="F44" s="11" t="inlineStr">
        <is>
          <t>Không</t>
        </is>
      </c>
      <c r="G44" s="11" t="inlineStr">
        <is>
          <t>Không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G1</t>
        </is>
      </c>
    </row>
    <row r="45">
      <c r="A45" s="5" t="inlineStr">
        <is>
          <t>M6. Thông báo &amp; nhắc hạn (K9)</t>
        </is>
      </c>
      <c r="B45" s="6" t="n"/>
      <c r="C45" s="6" t="n"/>
      <c r="D45" s="6" t="n"/>
      <c r="E45" s="7" t="n"/>
      <c r="F45" s="7" t="n"/>
      <c r="G45" s="7" t="n"/>
      <c r="H45" s="7" t="n"/>
      <c r="I45" s="7" t="n"/>
      <c r="J45" s="7" t="n"/>
    </row>
    <row r="46">
      <c r="A46" s="6" t="inlineStr">
        <is>
          <t>F6.1</t>
        </is>
      </c>
      <c r="B46" s="6" t="inlineStr">
        <is>
          <t>Danh sách thông báo của tôi</t>
        </is>
      </c>
      <c r="C46" s="6" t="inlineStr">
        <is>
          <t>YCCN-15</t>
        </is>
      </c>
      <c r="D46" s="6" t="inlineStr">
        <is>
          <t>GET /api/v1/thong-bao?page=&amp;size=</t>
        </is>
      </c>
      <c r="E46" s="11" t="inlineStr">
        <is>
          <t>Không</t>
        </is>
      </c>
      <c r="F46" s="12" t="inlineStr">
        <is>
          <t>Của mình</t>
        </is>
      </c>
      <c r="G46" s="12" t="inlineStr">
        <is>
          <t>Của mình</t>
        </is>
      </c>
      <c r="H46" s="12" t="inlineStr">
        <is>
          <t>Của mình</t>
        </is>
      </c>
      <c r="I46" s="12" t="inlineStr">
        <is>
          <t>Của mình</t>
        </is>
      </c>
      <c r="J46" s="10" t="inlineStr">
        <is>
          <t>G10</t>
        </is>
      </c>
    </row>
    <row r="47">
      <c r="A47" s="6" t="inlineStr">
        <is>
          <t>F6.2</t>
        </is>
      </c>
      <c r="B47" s="6" t="inlineStr">
        <is>
          <t>Đánh dấu thông báo đã đọc</t>
        </is>
      </c>
      <c r="C47" s="6" t="inlineStr">
        <is>
          <t>YCCN-15</t>
        </is>
      </c>
      <c r="D47" s="6" t="inlineStr">
        <is>
          <t>PATCH /api/v1/thong-bao/{id}/da-doc</t>
        </is>
      </c>
      <c r="E47" s="11" t="inlineStr">
        <is>
          <t>Không</t>
        </is>
      </c>
      <c r="F47" s="12" t="inlineStr">
        <is>
          <t>Của mình</t>
        </is>
      </c>
      <c r="G47" s="12" t="inlineStr">
        <is>
          <t>Của mình</t>
        </is>
      </c>
      <c r="H47" s="12" t="inlineStr">
        <is>
          <t>Của mình</t>
        </is>
      </c>
      <c r="I47" s="12" t="inlineStr">
        <is>
          <t>Của mình</t>
        </is>
      </c>
      <c r="J47" s="10" t="inlineStr">
        <is>
          <t>G10</t>
        </is>
      </c>
    </row>
    <row r="48">
      <c r="A48" s="6" t="inlineStr">
        <is>
          <t>F6.3</t>
        </is>
      </c>
      <c r="B48" s="6" t="inlineStr">
        <is>
          <t>Tác vụ nhắc hạn (điểm cuối nội bộ)</t>
        </is>
      </c>
      <c r="C48" s="6" t="inlineStr">
        <is>
          <t>YCCN-15</t>
        </is>
      </c>
      <c r="D48" s="6" t="inlineStr">
        <is>
          <t>POST /api/v1/internal/thong-bao/nhac-han</t>
        </is>
      </c>
      <c r="E48" s="11" t="inlineStr">
        <is>
          <t>Không</t>
        </is>
      </c>
      <c r="F48" s="11" t="inlineStr">
        <is>
          <t>Không</t>
        </is>
      </c>
      <c r="G48" s="11" t="inlineStr">
        <is>
          <t>Không</t>
        </is>
      </c>
      <c r="H48" s="11" t="inlineStr">
        <is>
          <t>Không</t>
        </is>
      </c>
      <c r="I48" s="11" t="inlineStr">
        <is>
          <t>Không</t>
        </is>
      </c>
      <c r="J48" s="10" t="inlineStr">
        <is>
          <t>G5</t>
        </is>
      </c>
    </row>
    <row r="49">
      <c r="A49" s="5" t="inlineStr">
        <is>
          <t>Điểm cuối dùng chung</t>
        </is>
      </c>
      <c r="B49" s="6" t="n"/>
      <c r="C49" s="6" t="n"/>
      <c r="D49" s="6" t="n"/>
      <c r="E49" s="7" t="n"/>
      <c r="F49" s="7" t="n"/>
      <c r="G49" s="7" t="n"/>
      <c r="H49" s="7" t="n"/>
      <c r="I49" s="7" t="n"/>
      <c r="J49" s="7" t="n"/>
    </row>
    <row r="50">
      <c r="A50" s="6" t="inlineStr">
        <is>
          <t>F7.1</t>
        </is>
      </c>
      <c r="B50" s="6" t="inlineStr">
        <is>
          <t>Kiểm tra sức khỏe hệ thống</t>
        </is>
      </c>
      <c r="C50" s="6" t="inlineStr">
        <is>
          <t>—</t>
        </is>
      </c>
      <c r="D50" s="6" t="inlineStr">
        <is>
          <t>GET /api/v1/health</t>
        </is>
      </c>
      <c r="E50" s="8" t="inlineStr">
        <is>
          <t>Có</t>
        </is>
      </c>
      <c r="F50" s="8" t="inlineStr">
        <is>
          <t>Có</t>
        </is>
      </c>
      <c r="G50" s="8" t="inlineStr">
        <is>
          <t>Có</t>
        </is>
      </c>
      <c r="H50" s="8" t="inlineStr">
        <is>
          <t>Có</t>
        </is>
      </c>
      <c r="I50" s="8" t="inlineStr">
        <is>
          <t>Có</t>
        </is>
      </c>
      <c r="J50" s="10" t="inlineStr">
        <is>
          <t>—</t>
        </is>
      </c>
    </row>
    <row r="52">
      <c r="D52" s="13" t="inlineStr">
        <is>
          <t>Số ô "Không" (= số ca kiểm thử)</t>
        </is>
      </c>
      <c r="E52" s="14">
        <f>COUNTIF(E6:E50,"Không")</f>
        <v/>
      </c>
      <c r="F52" s="14">
        <f>COUNTIF(F6:F50,"Không")</f>
        <v/>
      </c>
      <c r="G52" s="14">
        <f>COUNTIF(G6:G50,"Không")</f>
        <v/>
      </c>
      <c r="H52" s="14">
        <f>COUNTIF(H6:H50,"Không")</f>
        <v/>
      </c>
      <c r="I52" s="14">
        <f>COUNTIF(I6:I50,"Không")</f>
        <v/>
      </c>
      <c r="K52" s="15">
        <f>SUM(E52:I52)</f>
        <v/>
      </c>
    </row>
    <row r="53">
      <c r="D53" s="13" t="inlineStr">
        <is>
          <t>Số ô theo phạm vi (kiểm quyền trên đối tượng)</t>
        </is>
      </c>
      <c r="E53" s="16">
        <f>COUNTA(E6:E50)-COUNTIF(E6:E50,"Không")-COUNTIF(E6:E50,"Có")-COUNTIF(E6:E50,"—")</f>
        <v/>
      </c>
      <c r="F53" s="16">
        <f>COUNTA(F6:F50)-COUNTIF(F6:F50,"Không")-COUNTIF(F6:F50,"Có")-COUNTIF(F6:F50,"—")</f>
        <v/>
      </c>
      <c r="G53" s="16">
        <f>COUNTA(G6:G50)-COUNTIF(G6:G50,"Không")-COUNTIF(G6:G50,"Có")-COUNTIF(G6:G50,"—")</f>
        <v/>
      </c>
      <c r="H53" s="16">
        <f>COUNTA(H6:H50)-COUNTIF(H6:H50,"Không")-COUNTIF(H6:H50,"Có")-COUNTIF(H6:H50,"—")</f>
        <v/>
      </c>
      <c r="I53" s="16">
        <f>COUNTA(I6:I50)-COUNTIF(I6:I50,"Không")-COUNTIF(I6:I50,"Có")-COUNTIF(I6:I50,"—")</f>
        <v/>
      </c>
      <c r="K53" s="17">
        <f>SUM(E53:I53)</f>
        <v/>
      </c>
    </row>
  </sheetData>
  <mergeCells count="7">
    <mergeCell ref="A45:J45"/>
    <mergeCell ref="A36:J36"/>
    <mergeCell ref="A6:J6"/>
    <mergeCell ref="A25:J25"/>
    <mergeCell ref="A41:J41"/>
    <mergeCell ref="A13:J13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inlineStr">
        <is>
          <t>Các điểm cuối có cùng tập vai trò được gọi được gom thành một nhóm. Mỗi ca = một vai trò bị chặn gọi lần lượt toàn bộ điểm cuối của nhóm đó; chỉ đạt khi TẤT CẢ điểm cuối trong ca đều trả đúng mã. Gọi thẳng điểm cuối bằng curl hoặc Postman; trên InfinityFree phải gắn cookie __test.</t>
        </is>
      </c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6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6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6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6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8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inlineStr">
        <is>
          <t>Tài khoản A là chủ sở hữu hoặc người phụ trách, tài khoản B thì không. Chụp ảnh cả lần gọi hợp lệ của A và lần gọi chéo của B (Ảnh 19).</t>
        </is>
      </c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Chưa chạy</t>
        </is>
      </c>
      <c r="F5" s="6" t="inlineStr">
        <is>
          <t>—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Chưa chạy</t>
        </is>
      </c>
      <c r="F13" s="6" t="inlineStr">
        <is>
          <t>—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hai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quyen'!A6:A50,1)="F"))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1">
      <c r="A11" s="2" t="inlineStr">
        <is>
          <t>Chỉ số V4 đẩy lên bảng điều khiển: số ca kiểm thử đã chạy = ô B7; tỷ lệ đạt = ô B9.</t>
        </is>
      </c>
    </row>
    <row r="12">
      <c r="A12" s="2" t="inlineStr">
        <is>
          <t>Cách dùng: khi chạy thật ở Buổi 8, điền cột "Kết quả thực tế" và "KL" (Đạt / Không đạt) ở hai sheet ca kiểm thử; các ô ở đây tự cập nhật.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inlineStr">
        <is>
          <t>Nguồn điểm cuối: Danh mục điểm cuối API - Buổi 03 (V3). Tệp kiểm thử CSDL: test.sql (bản dump của V2, MySQL 8.0, 11 bảng) · Môi trường: MariaDB 10.4.32 (XAMPP) trên Windows 11 · Ngày chạy: 23/09/2026 · Người chạy: Nguyễn Minh Hải (V4)</t>
        </is>
      </c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inlineStr">
        <is>
          <t>Ba phép thử Không đạt do lược đồ chưa có ràng buộc CHECK. Câu lệnh đề xuất bổ sung:</t>
        </is>
      </c>
    </row>
    <row r="14">
      <c r="B14" s="25" t="inlineStr">
        <is>
          <t>ALTER TABLE diem_nghiem_thu ADD CONSTRAINT chk_diem CHECK (diem &gt;= 0 AND diem &lt;= 10);</t>
        </is>
      </c>
    </row>
    <row r="15">
      <c r="B15" s="25" t="inlineStr">
        <is>
          <t>ALTER TABLE de_tai ADD CONSTRAINT chk_de_tai_trang_thai CHECK (trang_thai IN ('pending','approved','rejected','in_progress','accepted'));</t>
        </is>
      </c>
    </row>
    <row r="16">
      <c r="B16" s="25" t="inlineStr">
        <is>
          <t>ALTER TABLE bao_cao_moc ADD CONSTRAINT chk_bao_cao_trang_thai CHECK (trang_thai IN ('pending','approved','revision_required','overdue'));</t>
        </is>
      </c>
    </row>
    <row r="17">
      <c r="B17" s="25" t="inlineStr">
        <is>
          <t>Vai trò của GVHD phải kiểm ở tầng service (CSDL không chặn được) - ca kiểm thử của V4 ở Buổi 8.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2026-09-23T15:01:56Z</dcterms:modified>
</cp:coreProperties>
</file>