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 tran phan quyen" sheetId="1" state="visible" r:id="rId1"/>
    <sheet xmlns:r="http://schemas.openxmlformats.org/officeDocument/2006/relationships" name="Ca kiem thu phan quyen" sheetId="2" state="visible" r:id="rId2"/>
    <sheet xmlns:r="http://schemas.openxmlformats.org/officeDocument/2006/relationships" name="Ca truy cap cheo" sheetId="3" state="visible" r:id="rId3"/>
    <sheet xmlns:r="http://schemas.openxmlformats.org/officeDocument/2006/relationships" name="Tong hop" sheetId="4" state="visible" r:id="rId4"/>
    <sheet xmlns:r="http://schemas.openxmlformats.org/officeDocument/2006/relationships" name="Kiem thu CSDL buoi 3" sheetId="5" state="visible" r:id="rId5"/>
  </sheets>
  <definedNames>
    <definedName name="_xlnm._FilterDatabase" localSheetId="1" hidden="1">'Ca kiem thu phan quyen'!$A$4:$H$37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color rgb="00808080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color rgb="00BF8F00"/>
      <sz val="10"/>
    </font>
    <font>
      <name val="Arial"/>
      <b val="1"/>
      <color rgb="00C00000"/>
      <sz val="11"/>
    </font>
    <font>
      <name val="Arial"/>
      <b val="1"/>
      <color rgb="00BF8F00"/>
      <sz val="11"/>
    </font>
    <font>
      <name val="Arial"/>
      <b val="1"/>
      <sz val="11"/>
    </font>
    <font>
      <name val="Arial"/>
      <sz val="11"/>
    </font>
    <font>
      <name val="Arial"/>
      <b val="1"/>
      <color rgb="00006100"/>
      <sz val="10"/>
    </font>
    <font>
      <name val="Consolas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6F2E6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10" fillId="0" borderId="0" pivotButton="0" quotePrefix="0" xfId="0"/>
    <xf numFmtId="0" fontId="9" fillId="0" borderId="0" applyAlignment="1" pivotButton="0" quotePrefix="0" xfId="0">
      <alignment horizontal="center"/>
    </xf>
    <xf numFmtId="0" fontId="11" fillId="0" borderId="0" pivotButton="0" quotePrefix="0" xfId="0"/>
    <xf numFmtId="0" fontId="3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0" fontId="14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46" customWidth="1" min="4" max="4"/>
    <col width="12" customWidth="1" min="5" max="5"/>
    <col width="14" customWidth="1" min="6" max="6"/>
    <col width="16" customWidth="1" min="7" max="7"/>
    <col width="18" customWidth="1" min="8" max="8"/>
    <col width="18" customWidth="1" min="9" max="9"/>
    <col width="12" customWidth="1" min="10" max="10"/>
    <col width="10" customWidth="1" min="11" max="11"/>
  </cols>
  <sheetData>
    <row r="1">
      <c r="A1" s="1" t="inlineStr">
        <is>
          <t>MA TRẬN PHÂN QUYỀN – Nhóm 03 – DT13 – Hệ thống Quản lý Đồ án và Đề tài Nghiên cứu</t>
        </is>
      </c>
    </row>
    <row r="2">
      <c r="A2" s="2" t="inlineStr">
        <is>
          <t>Người lập: Nguyễn Minh Hải (24100173) – V4 Phụ trách bảo mật và kiểm thử</t>
        </is>
      </c>
    </row>
    <row r="3">
      <c r="A3" s="3" t="inlineStr">
        <is>
          <t>Quy ước: Có = mọi bản ghi · Nhóm mình / Nhóm phụ trách / Của mình / Trong phạm vi / Đủ ĐK nghiệm thu = kiểm tra quyền trên đúng bản ghi (BM4) · Không = bị chặn, mỗi ô là 1 ca kiểm thử · — = không áp dụng</t>
        </is>
      </c>
    </row>
    <row r="5">
      <c r="A5" s="4" t="inlineStr">
        <is>
          <t>Mã</t>
        </is>
      </c>
      <c r="B5" s="4" t="inlineStr">
        <is>
          <t>Chức năng</t>
        </is>
      </c>
      <c r="C5" s="4" t="inlineStr">
        <is>
          <t>YCCN / Khối</t>
        </is>
      </c>
      <c r="D5" s="4" t="inlineStr">
        <is>
          <t>Điểm cuối</t>
        </is>
      </c>
      <c r="E5" s="4" t="inlineStr">
        <is>
          <t>Khách</t>
        </is>
      </c>
      <c r="F5" s="4" t="inlineStr">
        <is>
          <t>Sinh viên</t>
        </is>
      </c>
      <c r="G5" s="4" t="inlineStr">
        <is>
          <t>GVHD</t>
        </is>
      </c>
      <c r="H5" s="4" t="inlineStr">
        <is>
          <t>Thư ký khoa / QTV</t>
        </is>
      </c>
      <c r="I5" s="4" t="inlineStr">
        <is>
          <t>Hội đồng</t>
        </is>
      </c>
      <c r="J5" s="4" t="inlineStr">
        <is>
          <t>Nhóm quyền</t>
        </is>
      </c>
      <c r="K5" s="4" t="n"/>
    </row>
    <row r="6">
      <c r="A6" s="5" t="inlineStr">
        <is>
          <t>M1. Quản lý người dùng &amp; phân quyền (K1, K2)</t>
        </is>
      </c>
      <c r="B6" s="6" t="n"/>
      <c r="C6" s="6" t="n"/>
      <c r="D6" s="6" t="n"/>
      <c r="E6" s="7" t="n"/>
      <c r="F6" s="7" t="n"/>
      <c r="G6" s="7" t="n"/>
      <c r="H6" s="7" t="n"/>
      <c r="I6" s="7" t="n"/>
      <c r="J6" s="7" t="n"/>
    </row>
    <row r="7">
      <c r="A7" s="6" t="inlineStr">
        <is>
          <t>F1.1</t>
        </is>
      </c>
      <c r="B7" s="6" t="inlineStr">
        <is>
          <t>Đăng ký tài khoản</t>
        </is>
      </c>
      <c r="C7" s="6" t="inlineStr">
        <is>
          <t>YCCN-01</t>
        </is>
      </c>
      <c r="D7" s="6" t="inlineStr">
        <is>
          <t>POST /api/v1/auth/dang-ky</t>
        </is>
      </c>
      <c r="E7" s="8" t="inlineStr">
        <is>
          <t>Có</t>
        </is>
      </c>
      <c r="F7" s="9" t="inlineStr">
        <is>
          <t>—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10" t="inlineStr">
        <is>
          <t>—</t>
        </is>
      </c>
    </row>
    <row r="8">
      <c r="A8" s="6" t="inlineStr">
        <is>
          <t>F1.2</t>
        </is>
      </c>
      <c r="B8" s="6" t="inlineStr">
        <is>
          <t>Đăng nhập / đăng xuất</t>
        </is>
      </c>
      <c r="C8" s="6" t="inlineStr">
        <is>
          <t>YCCN-02</t>
        </is>
      </c>
      <c r="D8" s="6" t="inlineStr">
        <is>
          <t>POST /api/v1/auth/dang-nhap · /dang-xuat</t>
        </is>
      </c>
      <c r="E8" s="8" t="inlineStr">
        <is>
          <t>Có</t>
        </is>
      </c>
      <c r="F8" s="8" t="inlineStr">
        <is>
          <t>Có</t>
        </is>
      </c>
      <c r="G8" s="8" t="inlineStr">
        <is>
          <t>Có</t>
        </is>
      </c>
      <c r="H8" s="8" t="inlineStr">
        <is>
          <t>Có</t>
        </is>
      </c>
      <c r="I8" s="8" t="inlineStr">
        <is>
          <t>Có</t>
        </is>
      </c>
      <c r="J8" s="10" t="inlineStr">
        <is>
          <t>—</t>
        </is>
      </c>
    </row>
    <row r="9">
      <c r="A9" s="6" t="inlineStr">
        <is>
          <t>F1.3</t>
        </is>
      </c>
      <c r="B9" s="6" t="inlineStr">
        <is>
          <t>Khôi phục mật khẩu</t>
        </is>
      </c>
      <c r="C9" s="6" t="inlineStr">
        <is>
          <t>YCCN-04</t>
        </is>
      </c>
      <c r="D9" s="6" t="inlineStr">
        <is>
          <t>POST /api/v1/auth/quen-mat-khau · /dat-lai-mat-khau</t>
        </is>
      </c>
      <c r="E9" s="8" t="inlineStr">
        <is>
          <t>Có</t>
        </is>
      </c>
      <c r="F9" s="9" t="inlineStr">
        <is>
          <t>—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—</t>
        </is>
      </c>
      <c r="J9" s="10" t="inlineStr">
        <is>
          <t>—</t>
        </is>
      </c>
    </row>
    <row r="10">
      <c r="A10" s="6" t="inlineStr">
        <is>
          <t>F1.4</t>
        </is>
      </c>
      <c r="B10" s="6" t="inlineStr">
        <is>
          <t>Đổi mật khẩu</t>
        </is>
      </c>
      <c r="C10" s="6" t="inlineStr">
        <is>
          <t>YCCN-03</t>
        </is>
      </c>
      <c r="D10" s="6" t="inlineStr">
        <is>
          <t>PATCH /api/v1/nguoi-dung/toi/mat-khau</t>
        </is>
      </c>
      <c r="E10" s="11" t="inlineStr">
        <is>
          <t>Không</t>
        </is>
      </c>
      <c r="F10" s="12" t="inlineStr">
        <is>
          <t>Của mình</t>
        </is>
      </c>
      <c r="G10" s="12" t="inlineStr">
        <is>
          <t>Của mình</t>
        </is>
      </c>
      <c r="H10" s="12" t="inlineStr">
        <is>
          <t>Của mình</t>
        </is>
      </c>
      <c r="I10" s="12" t="inlineStr">
        <is>
          <t>Của mình</t>
        </is>
      </c>
      <c r="J10" s="10" t="inlineStr">
        <is>
          <t>G10</t>
        </is>
      </c>
    </row>
    <row r="11">
      <c r="A11" s="6" t="inlineStr">
        <is>
          <t>F1.5</t>
        </is>
      </c>
      <c r="B11" s="6" t="inlineStr">
        <is>
          <t>Xem, cập nhật hồ sơ cá nhân</t>
        </is>
      </c>
      <c r="C11" s="6" t="inlineStr">
        <is>
          <t>YCCN-22</t>
        </is>
      </c>
      <c r="D11" s="6" t="inlineStr">
        <is>
          <t>GET/PATCH /api/v1/nguoi-dung/toi</t>
        </is>
      </c>
      <c r="E11" s="11" t="inlineStr">
        <is>
          <t>Không</t>
        </is>
      </c>
      <c r="F11" s="12" t="inlineStr">
        <is>
          <t>Của mình</t>
        </is>
      </c>
      <c r="G11" s="12" t="inlineStr">
        <is>
          <t>Của mình</t>
        </is>
      </c>
      <c r="H11" s="12" t="inlineStr">
        <is>
          <t>Của mình</t>
        </is>
      </c>
      <c r="I11" s="12" t="inlineStr">
        <is>
          <t>Của mình</t>
        </is>
      </c>
      <c r="J11" s="10" t="inlineStr">
        <is>
          <t>G10</t>
        </is>
      </c>
    </row>
    <row r="12">
      <c r="A12" s="6" t="inlineStr">
        <is>
          <t>F1.6</t>
        </is>
      </c>
      <c r="B12" s="6" t="inlineStr">
        <is>
          <t>Quản lý tài khoản, khóa/mở, đổi vai trò</t>
        </is>
      </c>
      <c r="C12" s="6" t="inlineStr">
        <is>
          <t>—</t>
        </is>
      </c>
      <c r="D12" s="6" t="inlineStr">
        <is>
          <t>GET /api/v1/nguoi-dung · PATCH /api/v1/nguoi-dung/{id}/trang-thai</t>
        </is>
      </c>
      <c r="E12" s="11" t="inlineStr">
        <is>
          <t>Không</t>
        </is>
      </c>
      <c r="F12" s="11" t="inlineStr">
        <is>
          <t>Không</t>
        </is>
      </c>
      <c r="G12" s="11" t="inlineStr">
        <is>
          <t>Không</t>
        </is>
      </c>
      <c r="H12" s="8" t="inlineStr">
        <is>
          <t>Có</t>
        </is>
      </c>
      <c r="I12" s="11" t="inlineStr">
        <is>
          <t>Không</t>
        </is>
      </c>
      <c r="J12" s="10" t="inlineStr">
        <is>
          <t>G1</t>
        </is>
      </c>
    </row>
    <row r="13">
      <c r="A13" s="5" t="inlineStr">
        <is>
          <t>M2. Quản lý đề tài (K3, K4, K5, K10)</t>
        </is>
      </c>
      <c r="B13" s="6" t="n"/>
      <c r="C13" s="6" t="n"/>
      <c r="D13" s="6" t="n"/>
      <c r="E13" s="7" t="n"/>
      <c r="F13" s="7" t="n"/>
      <c r="G13" s="7" t="n"/>
      <c r="H13" s="7" t="n"/>
      <c r="I13" s="7" t="n"/>
      <c r="J13" s="7" t="n"/>
    </row>
    <row r="14">
      <c r="A14" s="6" t="inlineStr">
        <is>
          <t>F2.1</t>
        </is>
      </c>
      <c r="B14" s="6" t="inlineStr">
        <is>
          <t>Trang danh sách đề tài công khai</t>
        </is>
      </c>
      <c r="C14" s="6" t="inlineStr">
        <is>
          <t>YCCN-21</t>
        </is>
      </c>
      <c r="D14" s="6" t="inlineStr">
        <is>
          <t>GET /api/v1/public/de-tai</t>
        </is>
      </c>
      <c r="E14" s="8" t="inlineStr">
        <is>
          <t>Có</t>
        </is>
      </c>
      <c r="F14" s="8" t="inlineStr">
        <is>
          <t>Có</t>
        </is>
      </c>
      <c r="G14" s="8" t="inlineStr">
        <is>
          <t>Có</t>
        </is>
      </c>
      <c r="H14" s="8" t="inlineStr">
        <is>
          <t>Có</t>
        </is>
      </c>
      <c r="I14" s="8" t="inlineStr">
        <is>
          <t>Có</t>
        </is>
      </c>
      <c r="J14" s="10" t="inlineStr">
        <is>
          <t>—</t>
        </is>
      </c>
    </row>
    <row r="15">
      <c r="A15" s="6" t="inlineStr">
        <is>
          <t>F2.2</t>
        </is>
      </c>
      <c r="B15" s="6" t="inlineStr">
        <is>
          <t>Đề xuất đề tài mới</t>
        </is>
      </c>
      <c r="C15" s="6" t="inlineStr">
        <is>
          <t>YCCN-05</t>
        </is>
      </c>
      <c r="D15" s="6" t="inlineStr">
        <is>
          <t>POST /api/v1/de-tai</t>
        </is>
      </c>
      <c r="E15" s="11" t="inlineStr">
        <is>
          <t>Không</t>
        </is>
      </c>
      <c r="F15" s="12" t="inlineStr">
        <is>
          <t>Nhóm mình</t>
        </is>
      </c>
      <c r="G15" s="11" t="inlineStr">
        <is>
          <t>Không</t>
        </is>
      </c>
      <c r="H15" s="11" t="inlineStr">
        <is>
          <t>Không</t>
        </is>
      </c>
      <c r="I15" s="11" t="inlineStr">
        <is>
          <t>Không</t>
        </is>
      </c>
      <c r="J15" s="10" t="inlineStr">
        <is>
          <t>G3</t>
        </is>
      </c>
    </row>
    <row r="16">
      <c r="A16" s="6" t="inlineStr">
        <is>
          <t>F2.3</t>
        </is>
      </c>
      <c r="B16" s="6" t="inlineStr">
        <is>
          <t>Xem chi tiết đề tài</t>
        </is>
      </c>
      <c r="C16" s="6" t="inlineStr">
        <is>
          <t>—</t>
        </is>
      </c>
      <c r="D16" s="6" t="inlineStr">
        <is>
          <t>GET /api/v1/de-tai/{id}</t>
        </is>
      </c>
      <c r="E16" s="11" t="inlineStr">
        <is>
          <t>Không</t>
        </is>
      </c>
      <c r="F16" s="12" t="inlineStr">
        <is>
          <t>Chủ đề tài</t>
        </is>
      </c>
      <c r="G16" s="12" t="inlineStr">
        <is>
          <t>Nhóm phụ trách</t>
        </is>
      </c>
      <c r="H16" s="8" t="inlineStr">
        <is>
          <t>Có</t>
        </is>
      </c>
      <c r="I16" s="12" t="inlineStr">
        <is>
          <t>Đủ ĐK nghiệm thu</t>
        </is>
      </c>
      <c r="J16" s="10" t="inlineStr">
        <is>
          <t>G10</t>
        </is>
      </c>
    </row>
    <row r="17">
      <c r="A17" s="6" t="inlineStr">
        <is>
          <t>F2.4</t>
        </is>
      </c>
      <c r="B17" s="6" t="inlineStr">
        <is>
          <t>Cập nhật đề tài khi còn ở trạng thái đề xuất</t>
        </is>
      </c>
      <c r="C17" s="6" t="inlineStr">
        <is>
          <t>—</t>
        </is>
      </c>
      <c r="D17" s="6" t="inlineStr">
        <is>
          <t>PATCH /api/v1/de-tai/{id}</t>
        </is>
      </c>
      <c r="E17" s="11" t="inlineStr">
        <is>
          <t>Không</t>
        </is>
      </c>
      <c r="F17" s="12" t="inlineStr">
        <is>
          <t>Chủ đề tài</t>
        </is>
      </c>
      <c r="G17" s="11" t="inlineStr">
        <is>
          <t>Không</t>
        </is>
      </c>
      <c r="H17" s="11" t="inlineStr">
        <is>
          <t>Không</t>
        </is>
      </c>
      <c r="I17" s="11" t="inlineStr">
        <is>
          <t>Không</t>
        </is>
      </c>
      <c r="J17" s="10" t="inlineStr">
        <is>
          <t>G3</t>
        </is>
      </c>
    </row>
    <row r="18">
      <c r="A18" s="6" t="inlineStr">
        <is>
          <t>F2.5</t>
        </is>
      </c>
      <c r="B18" s="6" t="inlineStr">
        <is>
          <t>Xóa đề xuất chưa duyệt</t>
        </is>
      </c>
      <c r="C18" s="6" t="inlineStr">
        <is>
          <t>—</t>
        </is>
      </c>
      <c r="D18" s="6" t="inlineStr">
        <is>
          <t>DELETE /api/v1/de-tai/{id}</t>
        </is>
      </c>
      <c r="E18" s="11" t="inlineStr">
        <is>
          <t>Không</t>
        </is>
      </c>
      <c r="F18" s="12" t="inlineStr">
        <is>
          <t>Chủ đề tài</t>
        </is>
      </c>
      <c r="G18" s="11" t="inlineStr">
        <is>
          <t>Không</t>
        </is>
      </c>
      <c r="H18" s="11" t="inlineStr">
        <is>
          <t>Không</t>
        </is>
      </c>
      <c r="I18" s="11" t="inlineStr">
        <is>
          <t>Không</t>
        </is>
      </c>
      <c r="J18" s="10" t="inlineStr">
        <is>
          <t>G3</t>
        </is>
      </c>
    </row>
    <row r="19">
      <c r="A19" s="6" t="inlineStr">
        <is>
          <t>F2.6</t>
        </is>
      </c>
      <c r="B19" s="6" t="inlineStr">
        <is>
          <t>Duyệt đề tài</t>
        </is>
      </c>
      <c r="C19" s="6" t="inlineStr">
        <is>
          <t>YCCN-06</t>
        </is>
      </c>
      <c r="D19" s="6" t="inlineStr">
        <is>
          <t>POST /api/v1/de-tai/{id}/duyet</t>
        </is>
      </c>
      <c r="E19" s="11" t="inlineStr">
        <is>
          <t>Không</t>
        </is>
      </c>
      <c r="F19" s="11" t="inlineStr">
        <is>
          <t>Không</t>
        </is>
      </c>
      <c r="G19" s="12" t="inlineStr">
        <is>
          <t>Nhóm phụ trách</t>
        </is>
      </c>
      <c r="H19" s="11" t="inlineStr">
        <is>
          <t>Không</t>
        </is>
      </c>
      <c r="I19" s="11" t="inlineStr">
        <is>
          <t>Không</t>
        </is>
      </c>
      <c r="J19" s="10" t="inlineStr">
        <is>
          <t>G2</t>
        </is>
      </c>
    </row>
    <row r="20">
      <c r="A20" s="6" t="inlineStr">
        <is>
          <t>F2.7</t>
        </is>
      </c>
      <c r="B20" s="6" t="inlineStr">
        <is>
          <t>Từ chối, yêu cầu chỉnh sửa đề tài</t>
        </is>
      </c>
      <c r="C20" s="6" t="inlineStr">
        <is>
          <t>YCCN-06</t>
        </is>
      </c>
      <c r="D20" s="6" t="inlineStr">
        <is>
          <t>POST /api/v1/de-tai/{id}/tu-choi</t>
        </is>
      </c>
      <c r="E20" s="11" t="inlineStr">
        <is>
          <t>Không</t>
        </is>
      </c>
      <c r="F20" s="11" t="inlineStr">
        <is>
          <t>Không</t>
        </is>
      </c>
      <c r="G20" s="12" t="inlineStr">
        <is>
          <t>Nhóm phụ trách</t>
        </is>
      </c>
      <c r="H20" s="11" t="inlineStr">
        <is>
          <t>Không</t>
        </is>
      </c>
      <c r="I20" s="11" t="inlineStr">
        <is>
          <t>Không</t>
        </is>
      </c>
      <c r="J20" s="10" t="inlineStr">
        <is>
          <t>G2</t>
        </is>
      </c>
    </row>
    <row r="21">
      <c r="A21" s="6" t="inlineStr">
        <is>
          <t>F2.8</t>
        </is>
      </c>
      <c r="B21" s="6" t="inlineStr">
        <is>
          <t>Phân công GVHD cho nhóm</t>
        </is>
      </c>
      <c r="C21" s="6" t="inlineStr">
        <is>
          <t>YCCN-07</t>
        </is>
      </c>
      <c r="D21" s="6" t="inlineStr">
        <is>
          <t>PATCH /api/v1/nhom-sinh-vien/{id}/gvhd</t>
        </is>
      </c>
      <c r="E21" s="11" t="inlineStr">
        <is>
          <t>Không</t>
        </is>
      </c>
      <c r="F21" s="11" t="inlineStr">
        <is>
          <t>Không</t>
        </is>
      </c>
      <c r="G21" s="11" t="inlineStr">
        <is>
          <t>Không</t>
        </is>
      </c>
      <c r="H21" s="8" t="inlineStr">
        <is>
          <t>Có</t>
        </is>
      </c>
      <c r="I21" s="11" t="inlineStr">
        <is>
          <t>Không</t>
        </is>
      </c>
      <c r="J21" s="10" t="inlineStr">
        <is>
          <t>G1</t>
        </is>
      </c>
    </row>
    <row r="22">
      <c r="A22" s="6" t="inlineStr">
        <is>
          <t>F2.9</t>
        </is>
      </c>
      <c r="B22" s="6" t="inlineStr">
        <is>
          <t>Tìm kiếm, lọc, phân trang đề tài</t>
        </is>
      </c>
      <c r="C22" s="6" t="inlineStr">
        <is>
          <t>YCCN-13, 14</t>
        </is>
      </c>
      <c r="D22" s="6" t="inlineStr">
        <is>
          <t>GET /api/v1/de-tai?trang_thai=&amp;gvhd_id=&amp;q=&amp;page=&amp;size=</t>
        </is>
      </c>
      <c r="E22" s="11" t="inlineStr">
        <is>
          <t>Không</t>
        </is>
      </c>
      <c r="F22" s="12" t="inlineStr">
        <is>
          <t>Trong phạm vi</t>
        </is>
      </c>
      <c r="G22" s="12" t="inlineStr">
        <is>
          <t>Trong phạm vi</t>
        </is>
      </c>
      <c r="H22" s="8" t="inlineStr">
        <is>
          <t>Có</t>
        </is>
      </c>
      <c r="I22" s="12" t="inlineStr">
        <is>
          <t>Trong phạm vi</t>
        </is>
      </c>
      <c r="J22" s="10" t="inlineStr">
        <is>
          <t>G10</t>
        </is>
      </c>
    </row>
    <row r="23">
      <c r="A23" s="6" t="inlineStr">
        <is>
          <t>F2.10</t>
        </is>
      </c>
      <c r="B23" s="6" t="inlineStr">
        <is>
          <t>Quản lý nhóm sinh viên</t>
        </is>
      </c>
      <c r="C23" s="6" t="inlineStr">
        <is>
          <t>—</t>
        </is>
      </c>
      <c r="D23" s="6" t="inlineStr">
        <is>
          <t>POST /api/v1/nhom-sinh-vien · GET /api/v1/nhom-sinh-vien/{id}</t>
        </is>
      </c>
      <c r="E23" s="11" t="inlineStr">
        <is>
          <t>Không</t>
        </is>
      </c>
      <c r="F23" s="12" t="inlineStr">
        <is>
          <t>Nhóm mình</t>
        </is>
      </c>
      <c r="G23" s="11" t="inlineStr">
        <is>
          <t>Không</t>
        </is>
      </c>
      <c r="H23" s="8" t="inlineStr">
        <is>
          <t>Có</t>
        </is>
      </c>
      <c r="I23" s="11" t="inlineStr">
        <is>
          <t>Không</t>
        </is>
      </c>
      <c r="J23" s="10" t="inlineStr">
        <is>
          <t>G9</t>
        </is>
      </c>
    </row>
    <row r="24">
      <c r="A24" s="6" t="inlineStr">
        <is>
          <t>F2.11</t>
        </is>
      </c>
      <c r="B24" s="6" t="inlineStr">
        <is>
          <t>Thêm, xóa thành viên nhóm</t>
        </is>
      </c>
      <c r="C24" s="6" t="inlineStr">
        <is>
          <t>—</t>
        </is>
      </c>
      <c r="D24" s="6" t="inlineStr">
        <is>
          <t>POST .../thanh-vien · DELETE .../thanh-vien/{svId}</t>
        </is>
      </c>
      <c r="E24" s="11" t="inlineStr">
        <is>
          <t>Không</t>
        </is>
      </c>
      <c r="F24" s="12" t="inlineStr">
        <is>
          <t>Nhóm mình</t>
        </is>
      </c>
      <c r="G24" s="11" t="inlineStr">
        <is>
          <t>Không</t>
        </is>
      </c>
      <c r="H24" s="8" t="inlineStr">
        <is>
          <t>Có</t>
        </is>
      </c>
      <c r="I24" s="11" t="inlineStr">
        <is>
          <t>Không</t>
        </is>
      </c>
      <c r="J24" s="10" t="inlineStr">
        <is>
          <t>G9</t>
        </is>
      </c>
    </row>
    <row r="25">
      <c r="A25" s="5" t="inlineStr">
        <is>
          <t>M3. Quản lý tiến độ &amp; báo cáo theo mốc (K3, K6)</t>
        </is>
      </c>
      <c r="B25" s="6" t="n"/>
      <c r="C25" s="6" t="n"/>
      <c r="D25" s="6" t="n"/>
      <c r="E25" s="7" t="n"/>
      <c r="F25" s="7" t="n"/>
      <c r="G25" s="7" t="n"/>
      <c r="H25" s="7" t="n"/>
      <c r="I25" s="7" t="n"/>
      <c r="J25" s="7" t="n"/>
    </row>
    <row r="26">
      <c r="A26" s="6" t="inlineStr">
        <is>
          <t>F3.1</t>
        </is>
      </c>
      <c r="B26" s="6" t="inlineStr">
        <is>
          <t>Cấu hình mốc thời gian chung</t>
        </is>
      </c>
      <c r="C26" s="6" t="inlineStr">
        <is>
          <t>YCCN-08</t>
        </is>
      </c>
      <c r="D26" s="6" t="inlineStr">
        <is>
          <t>POST /api/v1/moc-thoi-gian</t>
        </is>
      </c>
      <c r="E26" s="11" t="inlineStr">
        <is>
          <t>Không</t>
        </is>
      </c>
      <c r="F26" s="11" t="inlineStr">
        <is>
          <t>Không</t>
        </is>
      </c>
      <c r="G26" s="11" t="inlineStr">
        <is>
          <t>Không</t>
        </is>
      </c>
      <c r="H26" s="8" t="inlineStr">
        <is>
          <t>Có</t>
        </is>
      </c>
      <c r="I26" s="11" t="inlineStr">
        <is>
          <t>Không</t>
        </is>
      </c>
      <c r="J26" s="10" t="inlineStr">
        <is>
          <t>G1</t>
        </is>
      </c>
    </row>
    <row r="27">
      <c r="A27" s="6" t="inlineStr">
        <is>
          <t>F3.2</t>
        </is>
      </c>
      <c r="B27" s="6" t="inlineStr">
        <is>
          <t>Xem danh sách mốc</t>
        </is>
      </c>
      <c r="C27" s="6" t="inlineStr">
        <is>
          <t>YCCN-08</t>
        </is>
      </c>
      <c r="D27" s="6" t="inlineStr">
        <is>
          <t>GET /api/v1/moc-thoi-gian</t>
        </is>
      </c>
      <c r="E27" s="11" t="inlineStr">
        <is>
          <t>Không</t>
        </is>
      </c>
      <c r="F27" s="8" t="inlineStr">
        <is>
          <t>Có</t>
        </is>
      </c>
      <c r="G27" s="8" t="inlineStr">
        <is>
          <t>Có</t>
        </is>
      </c>
      <c r="H27" s="8" t="inlineStr">
        <is>
          <t>Có</t>
        </is>
      </c>
      <c r="I27" s="8" t="inlineStr">
        <is>
          <t>Có</t>
        </is>
      </c>
      <c r="J27" s="10" t="inlineStr">
        <is>
          <t>G10</t>
        </is>
      </c>
    </row>
    <row r="28">
      <c r="A28" s="6" t="inlineStr">
        <is>
          <t>F3.3</t>
        </is>
      </c>
      <c r="B28" s="6" t="inlineStr">
        <is>
          <t>Cập nhật mốc</t>
        </is>
      </c>
      <c r="C28" s="6" t="inlineStr">
        <is>
          <t>YCCN-08</t>
        </is>
      </c>
      <c r="D28" s="6" t="inlineStr">
        <is>
          <t>PATCH /api/v1/moc-thoi-gian/{id}</t>
        </is>
      </c>
      <c r="E28" s="11" t="inlineStr">
        <is>
          <t>Không</t>
        </is>
      </c>
      <c r="F28" s="11" t="inlineStr">
        <is>
          <t>Không</t>
        </is>
      </c>
      <c r="G28" s="11" t="inlineStr">
        <is>
          <t>Không</t>
        </is>
      </c>
      <c r="H28" s="8" t="inlineStr">
        <is>
          <t>Có</t>
        </is>
      </c>
      <c r="I28" s="11" t="inlineStr">
        <is>
          <t>Không</t>
        </is>
      </c>
      <c r="J28" s="10" t="inlineStr">
        <is>
          <t>G1</t>
        </is>
      </c>
    </row>
    <row r="29">
      <c r="A29" s="6" t="inlineStr">
        <is>
          <t>F3.4</t>
        </is>
      </c>
      <c r="B29" s="6" t="inlineStr">
        <is>
          <t>Nộp báo cáo tiến độ theo mốc</t>
        </is>
      </c>
      <c r="C29" s="6" t="inlineStr">
        <is>
          <t>YCCN-09</t>
        </is>
      </c>
      <c r="D29" s="6" t="inlineStr">
        <is>
          <t>POST /api/v1/de-tai/{deTaiId}/bao-cao-moc</t>
        </is>
      </c>
      <c r="E29" s="11" t="inlineStr">
        <is>
          <t>Không</t>
        </is>
      </c>
      <c r="F29" s="12" t="inlineStr">
        <is>
          <t>Chủ đề tài</t>
        </is>
      </c>
      <c r="G29" s="11" t="inlineStr">
        <is>
          <t>Không</t>
        </is>
      </c>
      <c r="H29" s="11" t="inlineStr">
        <is>
          <t>Không</t>
        </is>
      </c>
      <c r="I29" s="11" t="inlineStr">
        <is>
          <t>Không</t>
        </is>
      </c>
      <c r="J29" s="10" t="inlineStr">
        <is>
          <t>G3</t>
        </is>
      </c>
    </row>
    <row r="30">
      <c r="A30" s="6" t="inlineStr">
        <is>
          <t>F3.5</t>
        </is>
      </c>
      <c r="B30" s="6" t="inlineStr">
        <is>
          <t>Nộp lại, ghi đè khi mốc còn mở</t>
        </is>
      </c>
      <c r="C30" s="6" t="inlineStr">
        <is>
          <t>YCCN-09</t>
        </is>
      </c>
      <c r="D30" s="6" t="inlineStr">
        <is>
          <t>PUT /api/v1/bao-cao-moc/{id}</t>
        </is>
      </c>
      <c r="E30" s="11" t="inlineStr">
        <is>
          <t>Không</t>
        </is>
      </c>
      <c r="F30" s="12" t="inlineStr">
        <is>
          <t>Chủ đề tài</t>
        </is>
      </c>
      <c r="G30" s="11" t="inlineStr">
        <is>
          <t>Không</t>
        </is>
      </c>
      <c r="H30" s="11" t="inlineStr">
        <is>
          <t>Không</t>
        </is>
      </c>
      <c r="I30" s="11" t="inlineStr">
        <is>
          <t>Không</t>
        </is>
      </c>
      <c r="J30" s="10" t="inlineStr">
        <is>
          <t>G3</t>
        </is>
      </c>
    </row>
    <row r="31">
      <c r="A31" s="6" t="inlineStr">
        <is>
          <t>F3.6</t>
        </is>
      </c>
      <c r="B31" s="6" t="inlineStr">
        <is>
          <t>Xem chi tiết báo cáo mốc</t>
        </is>
      </c>
      <c r="C31" s="6" t="inlineStr">
        <is>
          <t>—</t>
        </is>
      </c>
      <c r="D31" s="6" t="inlineStr">
        <is>
          <t>GET /api/v1/bao-cao-moc/{id}</t>
        </is>
      </c>
      <c r="E31" s="11" t="inlineStr">
        <is>
          <t>Không</t>
        </is>
      </c>
      <c r="F31" s="12" t="inlineStr">
        <is>
          <t>Chủ đề tài</t>
        </is>
      </c>
      <c r="G31" s="12" t="inlineStr">
        <is>
          <t>Nhóm phụ trách</t>
        </is>
      </c>
      <c r="H31" s="8" t="inlineStr">
        <is>
          <t>Có</t>
        </is>
      </c>
      <c r="I31" s="11" t="inlineStr">
        <is>
          <t>Không</t>
        </is>
      </c>
      <c r="J31" s="10" t="inlineStr">
        <is>
          <t>G8</t>
        </is>
      </c>
    </row>
    <row r="32">
      <c r="A32" s="6" t="inlineStr">
        <is>
          <t>F3.7</t>
        </is>
      </c>
      <c r="B32" s="6" t="inlineStr">
        <is>
          <t>Duyệt báo cáo mốc (Đạt)</t>
        </is>
      </c>
      <c r="C32" s="6" t="inlineStr">
        <is>
          <t>YCCN-10</t>
        </is>
      </c>
      <c r="D32" s="6" t="inlineStr">
        <is>
          <t>POST /api/v1/bao-cao-moc/{id}/duyet</t>
        </is>
      </c>
      <c r="E32" s="11" t="inlineStr">
        <is>
          <t>Không</t>
        </is>
      </c>
      <c r="F32" s="11" t="inlineStr">
        <is>
          <t>Không</t>
        </is>
      </c>
      <c r="G32" s="12" t="inlineStr">
        <is>
          <t>Nhóm phụ trách</t>
        </is>
      </c>
      <c r="H32" s="11" t="inlineStr">
        <is>
          <t>Không</t>
        </is>
      </c>
      <c r="I32" s="11" t="inlineStr">
        <is>
          <t>Không</t>
        </is>
      </c>
      <c r="J32" s="10" t="inlineStr">
        <is>
          <t>G2</t>
        </is>
      </c>
    </row>
    <row r="33">
      <c r="A33" s="6" t="inlineStr">
        <is>
          <t>F3.8</t>
        </is>
      </c>
      <c r="B33" s="6" t="inlineStr">
        <is>
          <t>Yêu cầu bổ sung báo cáo mốc</t>
        </is>
      </c>
      <c r="C33" s="6" t="inlineStr">
        <is>
          <t>YCCN-10</t>
        </is>
      </c>
      <c r="D33" s="6" t="inlineStr">
        <is>
          <t>POST /api/v1/bao-cao-moc/{id}/yeu-cau-bo-sung</t>
        </is>
      </c>
      <c r="E33" s="11" t="inlineStr">
        <is>
          <t>Không</t>
        </is>
      </c>
      <c r="F33" s="11" t="inlineStr">
        <is>
          <t>Không</t>
        </is>
      </c>
      <c r="G33" s="12" t="inlineStr">
        <is>
          <t>Nhóm phụ trách</t>
        </is>
      </c>
      <c r="H33" s="11" t="inlineStr">
        <is>
          <t>Không</t>
        </is>
      </c>
      <c r="I33" s="11" t="inlineStr">
        <is>
          <t>Không</t>
        </is>
      </c>
      <c r="J33" s="10" t="inlineStr">
        <is>
          <t>G2</t>
        </is>
      </c>
    </row>
    <row r="34">
      <c r="A34" s="6" t="inlineStr">
        <is>
          <t>F3.9</t>
        </is>
      </c>
      <c r="B34" s="6" t="inlineStr">
        <is>
          <t>Quét và đánh dấu quá hạn (điểm cuối nội bộ)</t>
        </is>
      </c>
      <c r="C34" s="6" t="inlineStr">
        <is>
          <t>YCCN-11</t>
        </is>
      </c>
      <c r="D34" s="6" t="inlineStr">
        <is>
          <t>POST /api/v1/internal/moc-thoi-gian/quet-qua-han</t>
        </is>
      </c>
      <c r="E34" s="11" t="inlineStr">
        <is>
          <t>Không</t>
        </is>
      </c>
      <c r="F34" s="11" t="inlineStr">
        <is>
          <t>Không</t>
        </is>
      </c>
      <c r="G34" s="11" t="inlineStr">
        <is>
          <t>Không</t>
        </is>
      </c>
      <c r="H34" s="11" t="inlineStr">
        <is>
          <t>Không</t>
        </is>
      </c>
      <c r="I34" s="11" t="inlineStr">
        <is>
          <t>Không</t>
        </is>
      </c>
      <c r="J34" s="10" t="inlineStr">
        <is>
          <t>G5</t>
        </is>
      </c>
    </row>
    <row r="35">
      <c r="A35" s="6" t="inlineStr">
        <is>
          <t>F3.10</t>
        </is>
      </c>
      <c r="B35" s="6" t="inlineStr">
        <is>
          <t>Xem lịch sử trạng thái đề tài / mốc</t>
        </is>
      </c>
      <c r="C35" s="6" t="inlineStr">
        <is>
          <t>YCCN-12</t>
        </is>
      </c>
      <c r="D35" s="6" t="inlineStr">
        <is>
          <t>GET /api/v1/de-tai/{id}/lich-su · /api/v1/bao-cao-moc/{id}/lich-su</t>
        </is>
      </c>
      <c r="E35" s="11" t="inlineStr">
        <is>
          <t>Không</t>
        </is>
      </c>
      <c r="F35" s="12" t="inlineStr">
        <is>
          <t>Chủ đề tài</t>
        </is>
      </c>
      <c r="G35" s="12" t="inlineStr">
        <is>
          <t>Nhóm phụ trách</t>
        </is>
      </c>
      <c r="H35" s="11" t="inlineStr">
        <is>
          <t>Không</t>
        </is>
      </c>
      <c r="I35" s="11" t="inlineStr">
        <is>
          <t>Không</t>
        </is>
      </c>
      <c r="J35" s="10" t="inlineStr">
        <is>
          <t>G7</t>
        </is>
      </c>
    </row>
    <row r="36">
      <c r="A36" s="5" t="inlineStr">
        <is>
          <t>M4. Nghiệm thu &amp; đánh giá cuối kỳ (K3)</t>
        </is>
      </c>
      <c r="B36" s="6" t="n"/>
      <c r="C36" s="6" t="n"/>
      <c r="D36" s="6" t="n"/>
      <c r="E36" s="7" t="n"/>
      <c r="F36" s="7" t="n"/>
      <c r="G36" s="7" t="n"/>
      <c r="H36" s="7" t="n"/>
      <c r="I36" s="7" t="n"/>
      <c r="J36" s="7" t="n"/>
    </row>
    <row r="37">
      <c r="A37" s="6" t="inlineStr">
        <is>
          <t>F4.1</t>
        </is>
      </c>
      <c r="B37" s="6" t="inlineStr">
        <is>
          <t>Danh sách hồ sơ đủ điều kiện nghiệm thu</t>
        </is>
      </c>
      <c r="C37" s="6" t="inlineStr">
        <is>
          <t>YCCN-19</t>
        </is>
      </c>
      <c r="D37" s="6" t="inlineStr">
        <is>
          <t>GET /api/v1/nghiem-thu/ho-so?page=&amp;size=</t>
        </is>
      </c>
      <c r="E37" s="11" t="inlineStr">
        <is>
          <t>Không</t>
        </is>
      </c>
      <c r="F37" s="11" t="inlineStr">
        <is>
          <t>Không</t>
        </is>
      </c>
      <c r="G37" s="11" t="inlineStr">
        <is>
          <t>Không</t>
        </is>
      </c>
      <c r="H37" s="11" t="inlineStr">
        <is>
          <t>Không</t>
        </is>
      </c>
      <c r="I37" s="8" t="inlineStr">
        <is>
          <t>Có</t>
        </is>
      </c>
      <c r="J37" s="10" t="inlineStr">
        <is>
          <t>G4</t>
        </is>
      </c>
    </row>
    <row r="38">
      <c r="A38" s="6" t="inlineStr">
        <is>
          <t>F4.2</t>
        </is>
      </c>
      <c r="B38" s="6" t="inlineStr">
        <is>
          <t>Xem chi tiết hồ sơ nghiệm thu</t>
        </is>
      </c>
      <c r="C38" s="6" t="inlineStr">
        <is>
          <t>YCCN-19</t>
        </is>
      </c>
      <c r="D38" s="6" t="inlineStr">
        <is>
          <t>GET /api/v1/de-tai/{id}/ho-so-nghiem-thu</t>
        </is>
      </c>
      <c r="E38" s="11" t="inlineStr">
        <is>
          <t>Không</t>
        </is>
      </c>
      <c r="F38" s="11" t="inlineStr">
        <is>
          <t>Không</t>
        </is>
      </c>
      <c r="G38" s="11" t="inlineStr">
        <is>
          <t>Không</t>
        </is>
      </c>
      <c r="H38" s="11" t="inlineStr">
        <is>
          <t>Không</t>
        </is>
      </c>
      <c r="I38" s="12" t="inlineStr">
        <is>
          <t>Đủ ĐK nghiệm thu</t>
        </is>
      </c>
      <c r="J38" s="10" t="inlineStr">
        <is>
          <t>G4</t>
        </is>
      </c>
    </row>
    <row r="39">
      <c r="A39" s="6" t="inlineStr">
        <is>
          <t>F4.3</t>
        </is>
      </c>
      <c r="B39" s="6" t="inlineStr">
        <is>
          <t>Chấm điểm nghiệm thu</t>
        </is>
      </c>
      <c r="C39" s="6" t="inlineStr">
        <is>
          <t>YCCN-19</t>
        </is>
      </c>
      <c r="D39" s="6" t="inlineStr">
        <is>
          <t>POST /api/v1/de-tai/{id}/diem-nghiem-thu</t>
        </is>
      </c>
      <c r="E39" s="11" t="inlineStr">
        <is>
          <t>Không</t>
        </is>
      </c>
      <c r="F39" s="11" t="inlineStr">
        <is>
          <t>Không</t>
        </is>
      </c>
      <c r="G39" s="11" t="inlineStr">
        <is>
          <t>Không</t>
        </is>
      </c>
      <c r="H39" s="11" t="inlineStr">
        <is>
          <t>Không</t>
        </is>
      </c>
      <c r="I39" s="12" t="inlineStr">
        <is>
          <t>Đủ ĐK nghiệm thu</t>
        </is>
      </c>
      <c r="J39" s="10" t="inlineStr">
        <is>
          <t>G4</t>
        </is>
      </c>
    </row>
    <row r="40">
      <c r="A40" s="6" t="inlineStr">
        <is>
          <t>F4.4</t>
        </is>
      </c>
      <c r="B40" s="6" t="inlineStr">
        <is>
          <t>Xem điểm nghiệm thu đã chấm</t>
        </is>
      </c>
      <c r="C40" s="6" t="inlineStr">
        <is>
          <t>—</t>
        </is>
      </c>
      <c r="D40" s="6" t="inlineStr">
        <is>
          <t>GET /api/v1/de-tai/{id}/diem-nghiem-thu</t>
        </is>
      </c>
      <c r="E40" s="11" t="inlineStr">
        <is>
          <t>Không</t>
        </is>
      </c>
      <c r="F40" s="12" t="inlineStr">
        <is>
          <t>Chủ đề tài</t>
        </is>
      </c>
      <c r="G40" s="12" t="inlineStr">
        <is>
          <t>Nhóm phụ trách</t>
        </is>
      </c>
      <c r="H40" s="8" t="inlineStr">
        <is>
          <t>Có</t>
        </is>
      </c>
      <c r="I40" s="8" t="inlineStr">
        <is>
          <t>Có</t>
        </is>
      </c>
      <c r="J40" s="10" t="inlineStr">
        <is>
          <t>G10</t>
        </is>
      </c>
    </row>
    <row r="41">
      <c r="A41" s="5" t="inlineStr">
        <is>
          <t>M5. Thống kê, báo cáo &amp; nhật ký (K7, K8)</t>
        </is>
      </c>
      <c r="B41" s="6" t="n"/>
      <c r="C41" s="6" t="n"/>
      <c r="D41" s="6" t="n"/>
      <c r="E41" s="7" t="n"/>
      <c r="F41" s="7" t="n"/>
      <c r="G41" s="7" t="n"/>
      <c r="H41" s="7" t="n"/>
      <c r="I41" s="7" t="n"/>
      <c r="J41" s="7" t="n"/>
    </row>
    <row r="42">
      <c r="A42" s="6" t="inlineStr">
        <is>
          <t>F5.1</t>
        </is>
      </c>
      <c r="B42" s="6" t="inlineStr">
        <is>
          <t>Thống kê tiến độ toàn khoa</t>
        </is>
      </c>
      <c r="C42" s="6" t="inlineStr">
        <is>
          <t>YCCN-17</t>
        </is>
      </c>
      <c r="D42" s="6" t="inlineStr">
        <is>
          <t>GET /api/v1/thong-ke/tien-do?lop=&amp;gvhd_id=&amp;tu_ngay=&amp;den_ngay=</t>
        </is>
      </c>
      <c r="E42" s="11" t="inlineStr">
        <is>
          <t>Không</t>
        </is>
      </c>
      <c r="F42" s="11" t="inlineStr">
        <is>
          <t>Không</t>
        </is>
      </c>
      <c r="G42" s="12" t="inlineStr">
        <is>
          <t>Trong phạm vi</t>
        </is>
      </c>
      <c r="H42" s="8" t="inlineStr">
        <is>
          <t>Có</t>
        </is>
      </c>
      <c r="I42" s="11" t="inlineStr">
        <is>
          <t>Không</t>
        </is>
      </c>
      <c r="J42" s="10" t="inlineStr">
        <is>
          <t>G6</t>
        </is>
      </c>
    </row>
    <row r="43">
      <c r="A43" s="6" t="inlineStr">
        <is>
          <t>F5.2</t>
        </is>
      </c>
      <c r="B43" s="6" t="inlineStr">
        <is>
          <t>Xuất báo cáo thống kê CSV/Excel</t>
        </is>
      </c>
      <c r="C43" s="6" t="inlineStr">
        <is>
          <t>YCCN-18</t>
        </is>
      </c>
      <c r="D43" s="6" t="inlineStr">
        <is>
          <t>GET /api/v1/thong-ke/tien-do/xuat?dinh_dang=csv</t>
        </is>
      </c>
      <c r="E43" s="11" t="inlineStr">
        <is>
          <t>Không</t>
        </is>
      </c>
      <c r="F43" s="11" t="inlineStr">
        <is>
          <t>Không</t>
        </is>
      </c>
      <c r="G43" s="11" t="inlineStr">
        <is>
          <t>Không</t>
        </is>
      </c>
      <c r="H43" s="8" t="inlineStr">
        <is>
          <t>Có</t>
        </is>
      </c>
      <c r="I43" s="11" t="inlineStr">
        <is>
          <t>Không</t>
        </is>
      </c>
      <c r="J43" s="10" t="inlineStr">
        <is>
          <t>G1</t>
        </is>
      </c>
    </row>
    <row r="44">
      <c r="A44" s="6" t="inlineStr">
        <is>
          <t>F5.3</t>
        </is>
      </c>
      <c r="B44" s="6" t="inlineStr">
        <is>
          <t>Tra cứu nhật ký hệ thống</t>
        </is>
      </c>
      <c r="C44" s="6" t="inlineStr">
        <is>
          <t>YCCN-20</t>
        </is>
      </c>
      <c r="D44" s="6" t="inlineStr">
        <is>
          <t>GET /api/v1/nhat-ky-he-thong?nguoi_dung_id=&amp;hanh_dong=</t>
        </is>
      </c>
      <c r="E44" s="11" t="inlineStr">
        <is>
          <t>Không</t>
        </is>
      </c>
      <c r="F44" s="11" t="inlineStr">
        <is>
          <t>Không</t>
        </is>
      </c>
      <c r="G44" s="11" t="inlineStr">
        <is>
          <t>Không</t>
        </is>
      </c>
      <c r="H44" s="8" t="inlineStr">
        <is>
          <t>Có</t>
        </is>
      </c>
      <c r="I44" s="11" t="inlineStr">
        <is>
          <t>Không</t>
        </is>
      </c>
      <c r="J44" s="10" t="inlineStr">
        <is>
          <t>G1</t>
        </is>
      </c>
    </row>
    <row r="45">
      <c r="A45" s="5" t="inlineStr">
        <is>
          <t>M6. Thông báo &amp; nhắc hạn (K9)</t>
        </is>
      </c>
      <c r="B45" s="6" t="n"/>
      <c r="C45" s="6" t="n"/>
      <c r="D45" s="6" t="n"/>
      <c r="E45" s="7" t="n"/>
      <c r="F45" s="7" t="n"/>
      <c r="G45" s="7" t="n"/>
      <c r="H45" s="7" t="n"/>
      <c r="I45" s="7" t="n"/>
      <c r="J45" s="7" t="n"/>
    </row>
    <row r="46">
      <c r="A46" s="6" t="inlineStr">
        <is>
          <t>F6.1</t>
        </is>
      </c>
      <c r="B46" s="6" t="inlineStr">
        <is>
          <t>Danh sách thông báo của tôi</t>
        </is>
      </c>
      <c r="C46" s="6" t="inlineStr">
        <is>
          <t>YCCN-15</t>
        </is>
      </c>
      <c r="D46" s="6" t="inlineStr">
        <is>
          <t>GET /api/v1/thong-bao?page=&amp;size=</t>
        </is>
      </c>
      <c r="E46" s="11" t="inlineStr">
        <is>
          <t>Không</t>
        </is>
      </c>
      <c r="F46" s="12" t="inlineStr">
        <is>
          <t>Của mình</t>
        </is>
      </c>
      <c r="G46" s="12" t="inlineStr">
        <is>
          <t>Của mình</t>
        </is>
      </c>
      <c r="H46" s="12" t="inlineStr">
        <is>
          <t>Của mình</t>
        </is>
      </c>
      <c r="I46" s="12" t="inlineStr">
        <is>
          <t>Của mình</t>
        </is>
      </c>
      <c r="J46" s="10" t="inlineStr">
        <is>
          <t>G10</t>
        </is>
      </c>
    </row>
    <row r="47">
      <c r="A47" s="6" t="inlineStr">
        <is>
          <t>F6.2</t>
        </is>
      </c>
      <c r="B47" s="6" t="inlineStr">
        <is>
          <t>Đánh dấu thông báo đã đọc</t>
        </is>
      </c>
      <c r="C47" s="6" t="inlineStr">
        <is>
          <t>YCCN-15</t>
        </is>
      </c>
      <c r="D47" s="6" t="inlineStr">
        <is>
          <t>PATCH /api/v1/thong-bao/{id}/da-doc</t>
        </is>
      </c>
      <c r="E47" s="11" t="inlineStr">
        <is>
          <t>Không</t>
        </is>
      </c>
      <c r="F47" s="12" t="inlineStr">
        <is>
          <t>Của mình</t>
        </is>
      </c>
      <c r="G47" s="12" t="inlineStr">
        <is>
          <t>Của mình</t>
        </is>
      </c>
      <c r="H47" s="12" t="inlineStr">
        <is>
          <t>Của mình</t>
        </is>
      </c>
      <c r="I47" s="12" t="inlineStr">
        <is>
          <t>Của mình</t>
        </is>
      </c>
      <c r="J47" s="10" t="inlineStr">
        <is>
          <t>G10</t>
        </is>
      </c>
    </row>
    <row r="48">
      <c r="A48" s="6" t="inlineStr">
        <is>
          <t>F6.3</t>
        </is>
      </c>
      <c r="B48" s="6" t="inlineStr">
        <is>
          <t>Tác vụ nhắc hạn (điểm cuối nội bộ)</t>
        </is>
      </c>
      <c r="C48" s="6" t="inlineStr">
        <is>
          <t>YCCN-15</t>
        </is>
      </c>
      <c r="D48" s="6" t="inlineStr">
        <is>
          <t>POST /api/v1/internal/thong-bao/nhac-han</t>
        </is>
      </c>
      <c r="E48" s="11" t="inlineStr">
        <is>
          <t>Không</t>
        </is>
      </c>
      <c r="F48" s="11" t="inlineStr">
        <is>
          <t>Không</t>
        </is>
      </c>
      <c r="G48" s="11" t="inlineStr">
        <is>
          <t>Không</t>
        </is>
      </c>
      <c r="H48" s="11" t="inlineStr">
        <is>
          <t>Không</t>
        </is>
      </c>
      <c r="I48" s="11" t="inlineStr">
        <is>
          <t>Không</t>
        </is>
      </c>
      <c r="J48" s="10" t="inlineStr">
        <is>
          <t>G5</t>
        </is>
      </c>
    </row>
    <row r="49">
      <c r="A49" s="5" t="inlineStr">
        <is>
          <t>Điểm cuối dùng chung</t>
        </is>
      </c>
      <c r="B49" s="6" t="n"/>
      <c r="C49" s="6" t="n"/>
      <c r="D49" s="6" t="n"/>
      <c r="E49" s="7" t="n"/>
      <c r="F49" s="7" t="n"/>
      <c r="G49" s="7" t="n"/>
      <c r="H49" s="7" t="n"/>
      <c r="I49" s="7" t="n"/>
      <c r="J49" s="7" t="n"/>
    </row>
    <row r="50">
      <c r="A50" s="6" t="inlineStr">
        <is>
          <t>F7.1</t>
        </is>
      </c>
      <c r="B50" s="6" t="inlineStr">
        <is>
          <t>Kiểm tra sức khỏe hệ thống</t>
        </is>
      </c>
      <c r="C50" s="6" t="inlineStr">
        <is>
          <t>—</t>
        </is>
      </c>
      <c r="D50" s="6" t="inlineStr">
        <is>
          <t>GET /api/v1/health</t>
        </is>
      </c>
      <c r="E50" s="8" t="inlineStr">
        <is>
          <t>Có</t>
        </is>
      </c>
      <c r="F50" s="8" t="inlineStr">
        <is>
          <t>Có</t>
        </is>
      </c>
      <c r="G50" s="8" t="inlineStr">
        <is>
          <t>Có</t>
        </is>
      </c>
      <c r="H50" s="8" t="inlineStr">
        <is>
          <t>Có</t>
        </is>
      </c>
      <c r="I50" s="8" t="inlineStr">
        <is>
          <t>Có</t>
        </is>
      </c>
      <c r="J50" s="10" t="inlineStr">
        <is>
          <t>—</t>
        </is>
      </c>
    </row>
    <row r="52">
      <c r="D52" s="13" t="inlineStr">
        <is>
          <t>Số ô "Không" (= số ca kiểm thử)</t>
        </is>
      </c>
      <c r="E52" s="14">
        <f>COUNTIF(E6:E50,"Không")</f>
        <v/>
      </c>
      <c r="F52" s="14">
        <f>COUNTIF(F6:F50,"Không")</f>
        <v/>
      </c>
      <c r="G52" s="14">
        <f>COUNTIF(G6:G50,"Không")</f>
        <v/>
      </c>
      <c r="H52" s="14">
        <f>COUNTIF(H6:H50,"Không")</f>
        <v/>
      </c>
      <c r="I52" s="14">
        <f>COUNTIF(I6:I50,"Không")</f>
        <v/>
      </c>
      <c r="K52" s="15">
        <f>SUM(E52:I52)</f>
        <v/>
      </c>
    </row>
    <row r="53">
      <c r="D53" s="13" t="inlineStr">
        <is>
          <t>Số ô theo phạm vi (kiểm quyền trên đối tượng)</t>
        </is>
      </c>
      <c r="E53" s="16">
        <f>COUNTA(E6:E50)-COUNTIF(E6:E50,"Không")-COUNTIF(E6:E50,"Có")-COUNTIF(E6:E50,"—")</f>
        <v/>
      </c>
      <c r="F53" s="16">
        <f>COUNTA(F6:F50)-COUNTIF(F6:F50,"Không")-COUNTIF(F6:F50,"Có")-COUNTIF(F6:F50,"—")</f>
        <v/>
      </c>
      <c r="G53" s="16">
        <f>COUNTA(G6:G50)-COUNTIF(G6:G50,"Không")-COUNTIF(G6:G50,"Có")-COUNTIF(G6:G50,"—")</f>
        <v/>
      </c>
      <c r="H53" s="16">
        <f>COUNTA(H6:H50)-COUNTIF(H6:H50,"Không")-COUNTIF(H6:H50,"Có")-COUNTIF(H6:H50,"—")</f>
        <v/>
      </c>
      <c r="I53" s="16">
        <f>COUNTA(I6:I50)-COUNTIF(I6:I50,"Không")-COUNTIF(I6:I50,"Có")-COUNTIF(I6:I50,"—")</f>
        <v/>
      </c>
      <c r="K53" s="17">
        <f>SUM(E53:I53)</f>
        <v/>
      </c>
    </row>
  </sheetData>
  <mergeCells count="7">
    <mergeCell ref="A45:J45"/>
    <mergeCell ref="A36:J36"/>
    <mergeCell ref="A6:J6"/>
    <mergeCell ref="A25:J25"/>
    <mergeCell ref="A41:J41"/>
    <mergeCell ref="A13:J13"/>
    <mergeCell ref="A49:J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24" customWidth="1" min="3" max="3"/>
    <col width="10" customWidth="1" min="4" max="4"/>
    <col width="58" customWidth="1" min="5" max="5"/>
    <col width="40" customWidth="1" min="6" max="6"/>
    <col width="16" customWidth="1" min="7" max="7"/>
    <col width="8" customWidth="1" min="8" max="8"/>
  </cols>
  <sheetData>
    <row r="1">
      <c r="A1" s="1" t="inlineStr">
        <is>
          <t>DANH MỤC CA KIỂM THỬ PHÂN QUYỀN – gom theo nhóm quyền (rủi ro BM5)</t>
        </is>
      </c>
    </row>
    <row r="2">
      <c r="A2" s="2" t="inlineStr">
        <is>
          <t>Các điểm cuối có cùng tập vai trò được gọi được gom thành một nhóm. Mỗi ca = một vai trò bị chặn gọi lần lượt toàn bộ điểm cuối của nhóm đó; chỉ đạt khi TẤT CẢ điểm cuối trong ca đều trả đúng mã. Gọi thẳng điểm cuối bằng curl hoặc Postman; trên InfinityFree phải gắn cookie __test.</t>
        </is>
      </c>
    </row>
    <row r="4">
      <c r="A4" s="4" t="inlineStr">
        <is>
          <t>Mã ca</t>
        </is>
      </c>
      <c r="B4" s="4" t="inlineStr">
        <is>
          <t>Nhóm</t>
        </is>
      </c>
      <c r="C4" s="4" t="inlineStr">
        <is>
          <t>Vai trò gọi</t>
        </is>
      </c>
      <c r="D4" s="4" t="inlineStr">
        <is>
          <t>Số điểm cuối</t>
        </is>
      </c>
      <c r="E4" s="4" t="inlineStr">
        <is>
          <t>Điểm cuối phải thử</t>
        </is>
      </c>
      <c r="F4" s="4" t="inlineStr">
        <is>
          <t>Kết quả mong đợi</t>
        </is>
      </c>
      <c r="G4" s="4" t="inlineStr">
        <is>
          <t>Kết quả thực tế</t>
        </is>
      </c>
      <c r="H4" s="4" t="inlineStr">
        <is>
          <t>KL</t>
        </is>
      </c>
    </row>
    <row r="5">
      <c r="A5" s="18" t="inlineStr">
        <is>
          <t>TC-PQ-01</t>
        </is>
      </c>
      <c r="B5" s="18" t="inlineStr">
        <is>
          <t>G1. Chỉ Thư ký khoa</t>
        </is>
      </c>
      <c r="C5" s="18" t="inlineStr">
        <is>
          <t>Khách chưa đăng nhập</t>
        </is>
      </c>
      <c r="D5" s="18" t="n">
        <v>6</v>
      </c>
      <c r="E5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5" s="18" t="inlineStr">
        <is>
          <t>401 (API) hoặc chuyển về trang đăng nhập ở mọi điểm cuối; không trả dữ liệu</t>
        </is>
      </c>
      <c r="G5" s="18" t="inlineStr">
        <is>
          <t>Chưa chạy</t>
        </is>
      </c>
      <c r="H5" s="18" t="inlineStr">
        <is>
          <t>—</t>
        </is>
      </c>
    </row>
    <row r="6">
      <c r="A6" s="18" t="inlineStr">
        <is>
          <t>TC-PQ-02</t>
        </is>
      </c>
      <c r="B6" s="18" t="inlineStr">
        <is>
          <t>G1. Chỉ Thư ký khoa</t>
        </is>
      </c>
      <c r="C6" s="18" t="inlineStr">
        <is>
          <t>Sinh viên</t>
        </is>
      </c>
      <c r="D6" s="18" t="n">
        <v>6</v>
      </c>
      <c r="E6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6" s="18" t="inlineStr">
        <is>
          <t>403 ở mọi điểm cuối; không trả dữ liệu, không thay đổi dữ liệu</t>
        </is>
      </c>
      <c r="G6" s="18" t="inlineStr">
        <is>
          <t>Chưa chạy</t>
        </is>
      </c>
      <c r="H6" s="18" t="inlineStr">
        <is>
          <t>—</t>
        </is>
      </c>
    </row>
    <row r="7">
      <c r="A7" s="18" t="inlineStr">
        <is>
          <t>TC-PQ-03</t>
        </is>
      </c>
      <c r="B7" s="18" t="inlineStr">
        <is>
          <t>G1. Chỉ Thư ký khoa</t>
        </is>
      </c>
      <c r="C7" s="18" t="inlineStr">
        <is>
          <t>Giảng viên hướng dẫn</t>
        </is>
      </c>
      <c r="D7" s="18" t="n">
        <v>6</v>
      </c>
      <c r="E7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7" s="18" t="inlineStr">
        <is>
          <t>403 ở mọi điểm cuối; không trả dữ liệu, không thay đổi dữ liệu</t>
        </is>
      </c>
      <c r="G7" s="18" t="inlineStr">
        <is>
          <t>Chưa chạy</t>
        </is>
      </c>
      <c r="H7" s="18" t="inlineStr">
        <is>
          <t>—</t>
        </is>
      </c>
    </row>
    <row r="8">
      <c r="A8" s="18" t="inlineStr">
        <is>
          <t>TC-PQ-04</t>
        </is>
      </c>
      <c r="B8" s="18" t="inlineStr">
        <is>
          <t>G1. Chỉ Thư ký khoa</t>
        </is>
      </c>
      <c r="C8" s="18" t="inlineStr">
        <is>
          <t>Hội đồng nghiệm thu</t>
        </is>
      </c>
      <c r="D8" s="18" t="n">
        <v>6</v>
      </c>
      <c r="E8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8" s="18" t="inlineStr">
        <is>
          <t>403 ở mọi điểm cuối; không trả dữ liệu, không thay đổi dữ liệu</t>
        </is>
      </c>
      <c r="G8" s="18" t="inlineStr">
        <is>
          <t>Chưa chạy</t>
        </is>
      </c>
      <c r="H8" s="18" t="inlineStr">
        <is>
          <t>—</t>
        </is>
      </c>
    </row>
    <row r="9">
      <c r="A9" s="18" t="inlineStr">
        <is>
          <t>TC-PQ-05</t>
        </is>
      </c>
      <c r="B9" s="18" t="inlineStr">
        <is>
          <t>G2. Chỉ GVHD phụ trách</t>
        </is>
      </c>
      <c r="C9" s="18" t="inlineStr">
        <is>
          <t>Khách chưa đăng nhập</t>
        </is>
      </c>
      <c r="D9" s="18" t="n">
        <v>4</v>
      </c>
      <c r="E9" s="18" t="inlineStr">
        <is>
          <t>F2.6 · POST /api/v1/de-tai/{id}/duyet
F2.7 · POST /api/v1/de-tai/{id}/tu-choi
F3.7 · POST /api/v1/bao-cao-moc/{id}/duyet
F3.8 · POST /api/v1/bao-cao-moc/{id}/yeu-cau-bo-sung</t>
        </is>
      </c>
      <c r="F9" s="18" t="inlineStr">
        <is>
          <t>401 (API) hoặc chuyển về trang đăng nhập ở mọi điểm cuối; không trả dữ liệu</t>
        </is>
      </c>
      <c r="G9" s="18" t="inlineStr">
        <is>
          <t>Chưa chạy</t>
        </is>
      </c>
      <c r="H9" s="18" t="inlineStr">
        <is>
          <t>—</t>
        </is>
      </c>
    </row>
    <row r="10">
      <c r="A10" s="18" t="inlineStr">
        <is>
          <t>TC-PQ-06</t>
        </is>
      </c>
      <c r="B10" s="18" t="inlineStr">
        <is>
          <t>G2. Chỉ GVHD phụ trách</t>
        </is>
      </c>
      <c r="C10" s="18" t="inlineStr">
        <is>
          <t>Sinh viên</t>
        </is>
      </c>
      <c r="D10" s="18" t="n">
        <v>4</v>
      </c>
      <c r="E10" s="18" t="inlineStr">
        <is>
          <t>F2.6 · POST /api/v1/de-tai/{id}/duyet
F2.7 · POST /api/v1/de-tai/{id}/tu-choi
F3.7 · POST /api/v1/bao-cao-moc/{id}/duyet
F3.8 · POST /api/v1/bao-cao-moc/{id}/yeu-cau-bo-sung</t>
        </is>
      </c>
      <c r="F10" s="18" t="inlineStr">
        <is>
          <t>403 ở mọi điểm cuối; không trả dữ liệu, không thay đổi dữ liệu</t>
        </is>
      </c>
      <c r="G10" s="18" t="inlineStr">
        <is>
          <t>Chưa chạy</t>
        </is>
      </c>
      <c r="H10" s="18" t="inlineStr">
        <is>
          <t>—</t>
        </is>
      </c>
    </row>
    <row r="11">
      <c r="A11" s="18" t="inlineStr">
        <is>
          <t>TC-PQ-07</t>
        </is>
      </c>
      <c r="B11" s="18" t="inlineStr">
        <is>
          <t>G2. Chỉ GVHD phụ trách</t>
        </is>
      </c>
      <c r="C11" s="18" t="inlineStr">
        <is>
          <t>Thư ký khoa / Quản trị viên</t>
        </is>
      </c>
      <c r="D11" s="18" t="n">
        <v>4</v>
      </c>
      <c r="E11" s="18" t="inlineStr">
        <is>
          <t>F2.6 · POST /api/v1/de-tai/{id}/duyet
F2.7 · POST /api/v1/de-tai/{id}/tu-choi
F3.7 · POST /api/v1/bao-cao-moc/{id}/duyet
F3.8 · POST /api/v1/bao-cao-moc/{id}/yeu-cau-bo-sung</t>
        </is>
      </c>
      <c r="F11" s="18" t="inlineStr">
        <is>
          <t>403 ở mọi điểm cuối; không trả dữ liệu, không thay đổi dữ liệu</t>
        </is>
      </c>
      <c r="G11" s="18" t="inlineStr">
        <is>
          <t>Chưa chạy</t>
        </is>
      </c>
      <c r="H11" s="18" t="inlineStr">
        <is>
          <t>—</t>
        </is>
      </c>
    </row>
    <row r="12">
      <c r="A12" s="18" t="inlineStr">
        <is>
          <t>TC-PQ-08</t>
        </is>
      </c>
      <c r="B12" s="18" t="inlineStr">
        <is>
          <t>G2. Chỉ GVHD phụ trách</t>
        </is>
      </c>
      <c r="C12" s="18" t="inlineStr">
        <is>
          <t>Hội đồng nghiệm thu</t>
        </is>
      </c>
      <c r="D12" s="18" t="n">
        <v>4</v>
      </c>
      <c r="E12" s="18" t="inlineStr">
        <is>
          <t>F2.6 · POST /api/v1/de-tai/{id}/duyet
F2.7 · POST /api/v1/de-tai/{id}/tu-choi
F3.7 · POST /api/v1/bao-cao-moc/{id}/duyet
F3.8 · POST /api/v1/bao-cao-moc/{id}/yeu-cau-bo-sung</t>
        </is>
      </c>
      <c r="F12" s="18" t="inlineStr">
        <is>
          <t>403 ở mọi điểm cuối; không trả dữ liệu, không thay đổi dữ liệu</t>
        </is>
      </c>
      <c r="G12" s="18" t="inlineStr">
        <is>
          <t>Chưa chạy</t>
        </is>
      </c>
      <c r="H12" s="18" t="inlineStr">
        <is>
          <t>—</t>
        </is>
      </c>
    </row>
    <row r="13">
      <c r="A13" s="18" t="inlineStr">
        <is>
          <t>TC-PQ-09</t>
        </is>
      </c>
      <c r="B13" s="18" t="inlineStr">
        <is>
          <t>G3. Chỉ Sinh viên chủ đề tài</t>
        </is>
      </c>
      <c r="C13" s="18" t="inlineStr">
        <is>
          <t>Khách chưa đăng nhập</t>
        </is>
      </c>
      <c r="D13" s="18" t="n">
        <v>5</v>
      </c>
      <c r="E13" s="18" t="inlineStr">
        <is>
          <t>F2.2 · POST /api/v1/de-tai
F2.4 · PATCH /api/v1/de-tai/{id}
F2.5 · DELETE /api/v1/de-tai/{id}
F3.4 · POST /api/v1/de-tai/{deTaiId}/bao-cao-moc
F3.5 · PUT /api/v1/bao-cao-moc/{id}</t>
        </is>
      </c>
      <c r="F13" s="18" t="inlineStr">
        <is>
          <t>401 (API) hoặc chuyển về trang đăng nhập ở mọi điểm cuối; không trả dữ liệu</t>
        </is>
      </c>
      <c r="G13" s="18" t="inlineStr">
        <is>
          <t>Chưa chạy</t>
        </is>
      </c>
      <c r="H13" s="18" t="inlineStr">
        <is>
          <t>—</t>
        </is>
      </c>
    </row>
    <row r="14">
      <c r="A14" s="18" t="inlineStr">
        <is>
          <t>TC-PQ-10</t>
        </is>
      </c>
      <c r="B14" s="18" t="inlineStr">
        <is>
          <t>G3. Chỉ Sinh viên chủ đề tài</t>
        </is>
      </c>
      <c r="C14" s="18" t="inlineStr">
        <is>
          <t>Giảng viên hướng dẫn</t>
        </is>
      </c>
      <c r="D14" s="18" t="n">
        <v>5</v>
      </c>
      <c r="E14" s="18" t="inlineStr">
        <is>
          <t>F2.2 · POST /api/v1/de-tai
F2.4 · PATCH /api/v1/de-tai/{id}
F2.5 · DELETE /api/v1/de-tai/{id}
F3.4 · POST /api/v1/de-tai/{deTaiId}/bao-cao-moc
F3.5 · PUT /api/v1/bao-cao-moc/{id}</t>
        </is>
      </c>
      <c r="F14" s="18" t="inlineStr">
        <is>
          <t>403 ở mọi điểm cuối; không trả dữ liệu, không thay đổi dữ liệu</t>
        </is>
      </c>
      <c r="G14" s="18" t="inlineStr">
        <is>
          <t>Chưa chạy</t>
        </is>
      </c>
      <c r="H14" s="18" t="inlineStr">
        <is>
          <t>—</t>
        </is>
      </c>
    </row>
    <row r="15">
      <c r="A15" s="18" t="inlineStr">
        <is>
          <t>TC-PQ-11</t>
        </is>
      </c>
      <c r="B15" s="18" t="inlineStr">
        <is>
          <t>G3. Chỉ Sinh viên chủ đề tài</t>
        </is>
      </c>
      <c r="C15" s="18" t="inlineStr">
        <is>
          <t>Thư ký khoa / Quản trị viên</t>
        </is>
      </c>
      <c r="D15" s="18" t="n">
        <v>5</v>
      </c>
      <c r="E15" s="18" t="inlineStr">
        <is>
          <t>F2.2 · POST /api/v1/de-tai
F2.4 · PATCH /api/v1/de-tai/{id}
F2.5 · DELETE /api/v1/de-tai/{id}
F3.4 · POST /api/v1/de-tai/{deTaiId}/bao-cao-moc
F3.5 · PUT /api/v1/bao-cao-moc/{id}</t>
        </is>
      </c>
      <c r="F15" s="18" t="inlineStr">
        <is>
          <t>403 ở mọi điểm cuối; không trả dữ liệu, không thay đổi dữ liệu</t>
        </is>
      </c>
      <c r="G15" s="18" t="inlineStr">
        <is>
          <t>Chưa chạy</t>
        </is>
      </c>
      <c r="H15" s="18" t="inlineStr">
        <is>
          <t>—</t>
        </is>
      </c>
    </row>
    <row r="16">
      <c r="A16" s="18" t="inlineStr">
        <is>
          <t>TC-PQ-12</t>
        </is>
      </c>
      <c r="B16" s="18" t="inlineStr">
        <is>
          <t>G3. Chỉ Sinh viên chủ đề tài</t>
        </is>
      </c>
      <c r="C16" s="18" t="inlineStr">
        <is>
          <t>Hội đồng nghiệm thu</t>
        </is>
      </c>
      <c r="D16" s="18" t="n">
        <v>5</v>
      </c>
      <c r="E16" s="18" t="inlineStr">
        <is>
          <t>F2.2 · POST /api/v1/de-tai
F2.4 · PATCH /api/v1/de-tai/{id}
F2.5 · DELETE /api/v1/de-tai/{id}
F3.4 · POST /api/v1/de-tai/{deTaiId}/bao-cao-moc
F3.5 · PUT /api/v1/bao-cao-moc/{id}</t>
        </is>
      </c>
      <c r="F16" s="18" t="inlineStr">
        <is>
          <t>403 ở mọi điểm cuối; không trả dữ liệu, không thay đổi dữ liệu</t>
        </is>
      </c>
      <c r="G16" s="18" t="inlineStr">
        <is>
          <t>Chưa chạy</t>
        </is>
      </c>
      <c r="H16" s="18" t="inlineStr">
        <is>
          <t>—</t>
        </is>
      </c>
    </row>
    <row r="17">
      <c r="A17" s="18" t="inlineStr">
        <is>
          <t>TC-PQ-13</t>
        </is>
      </c>
      <c r="B17" s="18" t="inlineStr">
        <is>
          <t>G4. Chỉ Hội đồng nghiệm thu</t>
        </is>
      </c>
      <c r="C17" s="18" t="inlineStr">
        <is>
          <t>Khách chưa đăng nhập</t>
        </is>
      </c>
      <c r="D17" s="18" t="n">
        <v>3</v>
      </c>
      <c r="E17" s="18" t="inlineStr">
        <is>
          <t>F4.1 · GET /api/v1/nghiem-thu/ho-so?page=&amp;size=
F4.2 · GET /api/v1/de-tai/{id}/ho-so-nghiem-thu
F4.3 · POST /api/v1/de-tai/{id}/diem-nghiem-thu</t>
        </is>
      </c>
      <c r="F17" s="18" t="inlineStr">
        <is>
          <t>401 (API) hoặc chuyển về trang đăng nhập ở mọi điểm cuối; không trả dữ liệu</t>
        </is>
      </c>
      <c r="G17" s="18" t="inlineStr">
        <is>
          <t>Chưa chạy</t>
        </is>
      </c>
      <c r="H17" s="18" t="inlineStr">
        <is>
          <t>—</t>
        </is>
      </c>
    </row>
    <row r="18">
      <c r="A18" s="18" t="inlineStr">
        <is>
          <t>TC-PQ-14</t>
        </is>
      </c>
      <c r="B18" s="18" t="inlineStr">
        <is>
          <t>G4. Chỉ Hội đồng nghiệm thu</t>
        </is>
      </c>
      <c r="C18" s="18" t="inlineStr">
        <is>
          <t>Sinh viên</t>
        </is>
      </c>
      <c r="D18" s="18" t="n">
        <v>3</v>
      </c>
      <c r="E18" s="18" t="inlineStr">
        <is>
          <t>F4.1 · GET /api/v1/nghiem-thu/ho-so?page=&amp;size=
F4.2 · GET /api/v1/de-tai/{id}/ho-so-nghiem-thu
F4.3 · POST /api/v1/de-tai/{id}/diem-nghiem-thu</t>
        </is>
      </c>
      <c r="F18" s="18" t="inlineStr">
        <is>
          <t>403 ở mọi điểm cuối; không trả dữ liệu, không thay đổi dữ liệu</t>
        </is>
      </c>
      <c r="G18" s="18" t="inlineStr">
        <is>
          <t>Chưa chạy</t>
        </is>
      </c>
      <c r="H18" s="18" t="inlineStr">
        <is>
          <t>—</t>
        </is>
      </c>
    </row>
    <row r="19">
      <c r="A19" s="18" t="inlineStr">
        <is>
          <t>TC-PQ-15</t>
        </is>
      </c>
      <c r="B19" s="18" t="inlineStr">
        <is>
          <t>G4. Chỉ Hội đồng nghiệm thu</t>
        </is>
      </c>
      <c r="C19" s="18" t="inlineStr">
        <is>
          <t>Giảng viên hướng dẫn</t>
        </is>
      </c>
      <c r="D19" s="18" t="n">
        <v>3</v>
      </c>
      <c r="E19" s="18" t="inlineStr">
        <is>
          <t>F4.1 · GET /api/v1/nghiem-thu/ho-so?page=&amp;size=
F4.2 · GET /api/v1/de-tai/{id}/ho-so-nghiem-thu
F4.3 · POST /api/v1/de-tai/{id}/diem-nghiem-thu</t>
        </is>
      </c>
      <c r="F19" s="18" t="inlineStr">
        <is>
          <t>403 ở mọi điểm cuối; không trả dữ liệu, không thay đổi dữ liệu</t>
        </is>
      </c>
      <c r="G19" s="18" t="inlineStr">
        <is>
          <t>Chưa chạy</t>
        </is>
      </c>
      <c r="H19" s="18" t="inlineStr">
        <is>
          <t>—</t>
        </is>
      </c>
    </row>
    <row r="20">
      <c r="A20" s="18" t="inlineStr">
        <is>
          <t>TC-PQ-16</t>
        </is>
      </c>
      <c r="B20" s="18" t="inlineStr">
        <is>
          <t>G4. Chỉ Hội đồng nghiệm thu</t>
        </is>
      </c>
      <c r="C20" s="18" t="inlineStr">
        <is>
          <t>Thư ký khoa / Quản trị viên</t>
        </is>
      </c>
      <c r="D20" s="18" t="n">
        <v>3</v>
      </c>
      <c r="E20" s="18" t="inlineStr">
        <is>
          <t>F4.1 · GET /api/v1/nghiem-thu/ho-so?page=&amp;size=
F4.2 · GET /api/v1/de-tai/{id}/ho-so-nghiem-thu
F4.3 · POST /api/v1/de-tai/{id}/diem-nghiem-thu</t>
        </is>
      </c>
      <c r="F20" s="18" t="inlineStr">
        <is>
          <t>403 ở mọi điểm cuối; không trả dữ liệu, không thay đổi dữ liệu</t>
        </is>
      </c>
      <c r="G20" s="18" t="inlineStr">
        <is>
          <t>Chưa chạy</t>
        </is>
      </c>
      <c r="H20" s="18" t="inlineStr">
        <is>
          <t>—</t>
        </is>
      </c>
    </row>
    <row r="21">
      <c r="A21" s="18" t="inlineStr">
        <is>
          <t>TC-PQ-17</t>
        </is>
      </c>
      <c r="B21" s="18" t="inlineStr">
        <is>
          <t>G5. Điểm cuối nội bộ – không vai trò người dùng nào được gọi</t>
        </is>
      </c>
      <c r="C21" s="18" t="inlineStr">
        <is>
          <t>Khách chưa đăng nhập</t>
        </is>
      </c>
      <c r="D21" s="18" t="n">
        <v>2</v>
      </c>
      <c r="E21" s="18" t="inlineStr">
        <is>
          <t>F3.9 · POST /api/v1/internal/moc-thoi-gian/quet-qua-han
F6.3 · POST /api/v1/internal/thong-bao/nhac-han</t>
        </is>
      </c>
      <c r="F21" s="18" t="inlineStr">
        <is>
          <t>401 (API) hoặc chuyển về trang đăng nhập ở mọi điểm cuối; không trả dữ liệu</t>
        </is>
      </c>
      <c r="G21" s="18" t="inlineStr">
        <is>
          <t>Chưa chạy</t>
        </is>
      </c>
      <c r="H21" s="18" t="inlineStr">
        <is>
          <t>—</t>
        </is>
      </c>
    </row>
    <row r="22">
      <c r="A22" s="18" t="inlineStr">
        <is>
          <t>TC-PQ-18</t>
        </is>
      </c>
      <c r="B22" s="18" t="inlineStr">
        <is>
          <t>G5. Điểm cuối nội bộ – không vai trò người dùng nào được gọi</t>
        </is>
      </c>
      <c r="C22" s="18" t="inlineStr">
        <is>
          <t>Sinh viên</t>
        </is>
      </c>
      <c r="D22" s="18" t="n">
        <v>2</v>
      </c>
      <c r="E22" s="18" t="inlineStr">
        <is>
          <t>F3.9 · POST /api/v1/internal/moc-thoi-gian/quet-qua-han
F6.3 · POST /api/v1/internal/thong-bao/nhac-han</t>
        </is>
      </c>
      <c r="F22" s="18" t="inlineStr">
        <is>
          <t>403 ở mọi điểm cuối; không trả dữ liệu, không thay đổi dữ liệu</t>
        </is>
      </c>
      <c r="G22" s="18" t="inlineStr">
        <is>
          <t>Chưa chạy</t>
        </is>
      </c>
      <c r="H22" s="18" t="inlineStr">
        <is>
          <t>—</t>
        </is>
      </c>
    </row>
    <row r="23">
      <c r="A23" s="18" t="inlineStr">
        <is>
          <t>TC-PQ-19</t>
        </is>
      </c>
      <c r="B23" s="18" t="inlineStr">
        <is>
          <t>G5. Điểm cuối nội bộ – không vai trò người dùng nào được gọi</t>
        </is>
      </c>
      <c r="C23" s="18" t="inlineStr">
        <is>
          <t>Giảng viên hướng dẫn</t>
        </is>
      </c>
      <c r="D23" s="18" t="n">
        <v>2</v>
      </c>
      <c r="E23" s="18" t="inlineStr">
        <is>
          <t>F3.9 · POST /api/v1/internal/moc-thoi-gian/quet-qua-han
F6.3 · POST /api/v1/internal/thong-bao/nhac-han</t>
        </is>
      </c>
      <c r="F23" s="18" t="inlineStr">
        <is>
          <t>403 ở mọi điểm cuối; không trả dữ liệu, không thay đổi dữ liệu</t>
        </is>
      </c>
      <c r="G23" s="18" t="inlineStr">
        <is>
          <t>Chưa chạy</t>
        </is>
      </c>
      <c r="H23" s="18" t="inlineStr">
        <is>
          <t>—</t>
        </is>
      </c>
    </row>
    <row r="24">
      <c r="A24" s="18" t="inlineStr">
        <is>
          <t>TC-PQ-20</t>
        </is>
      </c>
      <c r="B24" s="18" t="inlineStr">
        <is>
          <t>G5. Điểm cuối nội bộ – không vai trò người dùng nào được gọi</t>
        </is>
      </c>
      <c r="C24" s="18" t="inlineStr">
        <is>
          <t>Thư ký khoa / Quản trị viên</t>
        </is>
      </c>
      <c r="D24" s="18" t="n">
        <v>2</v>
      </c>
      <c r="E24" s="18" t="inlineStr">
        <is>
          <t>F3.9 · POST /api/v1/internal/moc-thoi-gian/quet-qua-han
F6.3 · POST /api/v1/internal/thong-bao/nhac-han</t>
        </is>
      </c>
      <c r="F24" s="18" t="inlineStr">
        <is>
          <t>403 ở mọi điểm cuối; không trả dữ liệu, không thay đổi dữ liệu</t>
        </is>
      </c>
      <c r="G24" s="18" t="inlineStr">
        <is>
          <t>Chưa chạy</t>
        </is>
      </c>
      <c r="H24" s="18" t="inlineStr">
        <is>
          <t>—</t>
        </is>
      </c>
    </row>
    <row r="25">
      <c r="A25" s="18" t="inlineStr">
        <is>
          <t>TC-PQ-21</t>
        </is>
      </c>
      <c r="B25" s="18" t="inlineStr">
        <is>
          <t>G5. Điểm cuối nội bộ – không vai trò người dùng nào được gọi</t>
        </is>
      </c>
      <c r="C25" s="18" t="inlineStr">
        <is>
          <t>Hội đồng nghiệm thu</t>
        </is>
      </c>
      <c r="D25" s="18" t="n">
        <v>2</v>
      </c>
      <c r="E25" s="18" t="inlineStr">
        <is>
          <t>F3.9 · POST /api/v1/internal/moc-thoi-gian/quet-qua-han
F6.3 · POST /api/v1/internal/thong-bao/nhac-han</t>
        </is>
      </c>
      <c r="F25" s="18" t="inlineStr">
        <is>
          <t>403 ở mọi điểm cuối; không trả dữ liệu, không thay đổi dữ liệu</t>
        </is>
      </c>
      <c r="G25" s="18" t="inlineStr">
        <is>
          <t>Chưa chạy</t>
        </is>
      </c>
      <c r="H25" s="18" t="inlineStr">
        <is>
          <t>—</t>
        </is>
      </c>
    </row>
    <row r="26">
      <c r="A26" s="18" t="inlineStr">
        <is>
          <t>TC-PQ-22</t>
        </is>
      </c>
      <c r="B26" s="18" t="inlineStr">
        <is>
          <t>G6. Thư ký khoa (toàn khoa) và GVHD (trong phạm vi)</t>
        </is>
      </c>
      <c r="C26" s="18" t="inlineStr">
        <is>
          <t>Khách chưa đăng nhập</t>
        </is>
      </c>
      <c r="D26" s="18" t="n">
        <v>1</v>
      </c>
      <c r="E26" s="18" t="inlineStr">
        <is>
          <t>F5.1 · GET /api/v1/thong-ke/tien-do?lop=&amp;gvhd_id=&amp;tu_ngay=&amp;den_ngay=</t>
        </is>
      </c>
      <c r="F26" s="18" t="inlineStr">
        <is>
          <t>401 (API) hoặc chuyển về trang đăng nhập ở mọi điểm cuối; không trả dữ liệu</t>
        </is>
      </c>
      <c r="G26" s="18" t="inlineStr">
        <is>
          <t>Chưa chạy</t>
        </is>
      </c>
      <c r="H26" s="18" t="inlineStr">
        <is>
          <t>—</t>
        </is>
      </c>
    </row>
    <row r="27">
      <c r="A27" s="18" t="inlineStr">
        <is>
          <t>TC-PQ-23</t>
        </is>
      </c>
      <c r="B27" s="18" t="inlineStr">
        <is>
          <t>G6. Thư ký khoa (toàn khoa) và GVHD (trong phạm vi)</t>
        </is>
      </c>
      <c r="C27" s="18" t="inlineStr">
        <is>
          <t>Sinh viên</t>
        </is>
      </c>
      <c r="D27" s="18" t="n">
        <v>1</v>
      </c>
      <c r="E27" s="18" t="inlineStr">
        <is>
          <t>F5.1 · GET /api/v1/thong-ke/tien-do?lop=&amp;gvhd_id=&amp;tu_ngay=&amp;den_ngay=</t>
        </is>
      </c>
      <c r="F27" s="18" t="inlineStr">
        <is>
          <t>403 ở mọi điểm cuối; không trả dữ liệu, không thay đổi dữ liệu</t>
        </is>
      </c>
      <c r="G27" s="18" t="inlineStr">
        <is>
          <t>Chưa chạy</t>
        </is>
      </c>
      <c r="H27" s="18" t="inlineStr">
        <is>
          <t>—</t>
        </is>
      </c>
    </row>
    <row r="28">
      <c r="A28" s="18" t="inlineStr">
        <is>
          <t>TC-PQ-24</t>
        </is>
      </c>
      <c r="B28" s="18" t="inlineStr">
        <is>
          <t>G6. Thư ký khoa (toàn khoa) và GVHD (trong phạm vi)</t>
        </is>
      </c>
      <c r="C28" s="18" t="inlineStr">
        <is>
          <t>Hội đồng nghiệm thu</t>
        </is>
      </c>
      <c r="D28" s="18" t="n">
        <v>1</v>
      </c>
      <c r="E28" s="18" t="inlineStr">
        <is>
          <t>F5.1 · GET /api/v1/thong-ke/tien-do?lop=&amp;gvhd_id=&amp;tu_ngay=&amp;den_ngay=</t>
        </is>
      </c>
      <c r="F28" s="18" t="inlineStr">
        <is>
          <t>403 ở mọi điểm cuối; không trả dữ liệu, không thay đổi dữ liệu</t>
        </is>
      </c>
      <c r="G28" s="18" t="inlineStr">
        <is>
          <t>Chưa chạy</t>
        </is>
      </c>
      <c r="H28" s="18" t="inlineStr">
        <is>
          <t>—</t>
        </is>
      </c>
    </row>
    <row r="29">
      <c r="A29" s="18" t="inlineStr">
        <is>
          <t>TC-PQ-25</t>
        </is>
      </c>
      <c r="B29" s="18" t="inlineStr">
        <is>
          <t>G7. Sinh viên chủ đề tài và GVHD phụ trách</t>
        </is>
      </c>
      <c r="C29" s="18" t="inlineStr">
        <is>
          <t>Khách chưa đăng nhập</t>
        </is>
      </c>
      <c r="D29" s="18" t="n">
        <v>1</v>
      </c>
      <c r="E29" s="18" t="inlineStr">
        <is>
          <t>F3.10 · GET /api/v1/de-tai/{id}/lich-su · /api/v1/bao-cao-moc/{id}/lich-su</t>
        </is>
      </c>
      <c r="F29" s="18" t="inlineStr">
        <is>
          <t>401 (API) hoặc chuyển về trang đăng nhập ở mọi điểm cuối; không trả dữ liệu</t>
        </is>
      </c>
      <c r="G29" s="18" t="inlineStr">
        <is>
          <t>Chưa chạy</t>
        </is>
      </c>
      <c r="H29" s="18" t="inlineStr">
        <is>
          <t>—</t>
        </is>
      </c>
    </row>
    <row r="30">
      <c r="A30" s="18" t="inlineStr">
        <is>
          <t>TC-PQ-26</t>
        </is>
      </c>
      <c r="B30" s="18" t="inlineStr">
        <is>
          <t>G7. Sinh viên chủ đề tài và GVHD phụ trách</t>
        </is>
      </c>
      <c r="C30" s="18" t="inlineStr">
        <is>
          <t>Thư ký khoa / Quản trị viên</t>
        </is>
      </c>
      <c r="D30" s="18" t="n">
        <v>1</v>
      </c>
      <c r="E30" s="18" t="inlineStr">
        <is>
          <t>F3.10 · GET /api/v1/de-tai/{id}/lich-su · /api/v1/bao-cao-moc/{id}/lich-su</t>
        </is>
      </c>
      <c r="F30" s="18" t="inlineStr">
        <is>
          <t>403 ở mọi điểm cuối; không trả dữ liệu, không thay đổi dữ liệu</t>
        </is>
      </c>
      <c r="G30" s="18" t="inlineStr">
        <is>
          <t>Chưa chạy</t>
        </is>
      </c>
      <c r="H30" s="18" t="inlineStr">
        <is>
          <t>—</t>
        </is>
      </c>
    </row>
    <row r="31">
      <c r="A31" s="18" t="inlineStr">
        <is>
          <t>TC-PQ-27</t>
        </is>
      </c>
      <c r="B31" s="18" t="inlineStr">
        <is>
          <t>G7. Sinh viên chủ đề tài và GVHD phụ trách</t>
        </is>
      </c>
      <c r="C31" s="18" t="inlineStr">
        <is>
          <t>Hội đồng nghiệm thu</t>
        </is>
      </c>
      <c r="D31" s="18" t="n">
        <v>1</v>
      </c>
      <c r="E31" s="18" t="inlineStr">
        <is>
          <t>F3.10 · GET /api/v1/de-tai/{id}/lich-su · /api/v1/bao-cao-moc/{id}/lich-su</t>
        </is>
      </c>
      <c r="F31" s="18" t="inlineStr">
        <is>
          <t>403 ở mọi điểm cuối; không trả dữ liệu, không thay đổi dữ liệu</t>
        </is>
      </c>
      <c r="G31" s="18" t="inlineStr">
        <is>
          <t>Chưa chạy</t>
        </is>
      </c>
      <c r="H31" s="18" t="inlineStr">
        <is>
          <t>—</t>
        </is>
      </c>
    </row>
    <row r="32">
      <c r="A32" s="18" t="inlineStr">
        <is>
          <t>TC-PQ-28</t>
        </is>
      </c>
      <c r="B32" s="18" t="inlineStr">
        <is>
          <t>G8. Sinh viên chủ đề tài, GVHD phụ trách và Thư ký khoa</t>
        </is>
      </c>
      <c r="C32" s="18" t="inlineStr">
        <is>
          <t>Khách chưa đăng nhập</t>
        </is>
      </c>
      <c r="D32" s="18" t="n">
        <v>1</v>
      </c>
      <c r="E32" s="18" t="inlineStr">
        <is>
          <t>F3.6 · GET /api/v1/bao-cao-moc/{id}</t>
        </is>
      </c>
      <c r="F32" s="18" t="inlineStr">
        <is>
          <t>401 (API) hoặc chuyển về trang đăng nhập ở mọi điểm cuối; không trả dữ liệu</t>
        </is>
      </c>
      <c r="G32" s="18" t="inlineStr">
        <is>
          <t>Chưa chạy</t>
        </is>
      </c>
      <c r="H32" s="18" t="inlineStr">
        <is>
          <t>—</t>
        </is>
      </c>
    </row>
    <row r="33">
      <c r="A33" s="18" t="inlineStr">
        <is>
          <t>TC-PQ-29</t>
        </is>
      </c>
      <c r="B33" s="18" t="inlineStr">
        <is>
          <t>G8. Sinh viên chủ đề tài, GVHD phụ trách và Thư ký khoa</t>
        </is>
      </c>
      <c r="C33" s="18" t="inlineStr">
        <is>
          <t>Hội đồng nghiệm thu</t>
        </is>
      </c>
      <c r="D33" s="18" t="n">
        <v>1</v>
      </c>
      <c r="E33" s="18" t="inlineStr">
        <is>
          <t>F3.6 · GET /api/v1/bao-cao-moc/{id}</t>
        </is>
      </c>
      <c r="F33" s="18" t="inlineStr">
        <is>
          <t>403 ở mọi điểm cuối; không trả dữ liệu, không thay đổi dữ liệu</t>
        </is>
      </c>
      <c r="G33" s="18" t="inlineStr">
        <is>
          <t>Chưa chạy</t>
        </is>
      </c>
      <c r="H33" s="18" t="inlineStr">
        <is>
          <t>—</t>
        </is>
      </c>
    </row>
    <row r="34">
      <c r="A34" s="18" t="inlineStr">
        <is>
          <t>TC-PQ-30</t>
        </is>
      </c>
      <c r="B34" s="18" t="inlineStr">
        <is>
          <t>G9. Sinh viên trong nhóm và Thư ký khoa</t>
        </is>
      </c>
      <c r="C34" s="18" t="inlineStr">
        <is>
          <t>Khách chưa đăng nhập</t>
        </is>
      </c>
      <c r="D34" s="18" t="n">
        <v>2</v>
      </c>
      <c r="E34" s="18" t="inlineStr">
        <is>
          <t>F2.10 · POST /api/v1/nhom-sinh-vien · GET /api/v1/nhom-sinh-vien/{id}
F2.11 · POST .../thanh-vien · DELETE .../thanh-vien/{svId}</t>
        </is>
      </c>
      <c r="F34" s="18" t="inlineStr">
        <is>
          <t>401 (API) hoặc chuyển về trang đăng nhập ở mọi điểm cuối; không trả dữ liệu</t>
        </is>
      </c>
      <c r="G34" s="18" t="inlineStr">
        <is>
          <t>Chưa chạy</t>
        </is>
      </c>
      <c r="H34" s="18" t="inlineStr">
        <is>
          <t>—</t>
        </is>
      </c>
    </row>
    <row r="35">
      <c r="A35" s="18" t="inlineStr">
        <is>
          <t>TC-PQ-31</t>
        </is>
      </c>
      <c r="B35" s="18" t="inlineStr">
        <is>
          <t>G9. Sinh viên trong nhóm và Thư ký khoa</t>
        </is>
      </c>
      <c r="C35" s="18" t="inlineStr">
        <is>
          <t>Giảng viên hướng dẫn</t>
        </is>
      </c>
      <c r="D35" s="18" t="n">
        <v>2</v>
      </c>
      <c r="E35" s="18" t="inlineStr">
        <is>
          <t>F2.10 · POST /api/v1/nhom-sinh-vien · GET /api/v1/nhom-sinh-vien/{id}
F2.11 · POST .../thanh-vien · DELETE .../thanh-vien/{svId}</t>
        </is>
      </c>
      <c r="F35" s="18" t="inlineStr">
        <is>
          <t>403 ở mọi điểm cuối; không trả dữ liệu, không thay đổi dữ liệu</t>
        </is>
      </c>
      <c r="G35" s="18" t="inlineStr">
        <is>
          <t>Chưa chạy</t>
        </is>
      </c>
      <c r="H35" s="18" t="inlineStr">
        <is>
          <t>—</t>
        </is>
      </c>
    </row>
    <row r="36">
      <c r="A36" s="18" t="inlineStr">
        <is>
          <t>TC-PQ-32</t>
        </is>
      </c>
      <c r="B36" s="18" t="inlineStr">
        <is>
          <t>G9. Sinh viên trong nhóm và Thư ký khoa</t>
        </is>
      </c>
      <c r="C36" s="18" t="inlineStr">
        <is>
          <t>Hội đồng nghiệm thu</t>
        </is>
      </c>
      <c r="D36" s="18" t="n">
        <v>2</v>
      </c>
      <c r="E36" s="18" t="inlineStr">
        <is>
          <t>F2.10 · POST /api/v1/nhom-sinh-vien · GET /api/v1/nhom-sinh-vien/{id}
F2.11 · POST .../thanh-vien · DELETE .../thanh-vien/{svId}</t>
        </is>
      </c>
      <c r="F36" s="18" t="inlineStr">
        <is>
          <t>403 ở mọi điểm cuối; không trả dữ liệu, không thay đổi dữ liệu</t>
        </is>
      </c>
      <c r="G36" s="18" t="inlineStr">
        <is>
          <t>Chưa chạy</t>
        </is>
      </c>
      <c r="H36" s="18" t="inlineStr">
        <is>
          <t>—</t>
        </is>
      </c>
    </row>
    <row r="37">
      <c r="A37" s="18" t="inlineStr">
        <is>
          <t>TC-PQ-33</t>
        </is>
      </c>
      <c r="B37" s="18" t="inlineStr">
        <is>
          <t>G10. Mọi vai trò đã đăng nhập (chỉ chặn Khách)</t>
        </is>
      </c>
      <c r="C37" s="18" t="inlineStr">
        <is>
          <t>Khách chưa đăng nhập</t>
        </is>
      </c>
      <c r="D37" s="18" t="n">
        <v>8</v>
      </c>
      <c r="E37" s="18" t="inlineStr">
        <is>
          <t>F1.4 · PATCH /api/v1/nguoi-dung/toi/mat-khau
F1.5 · GET/PATCH /api/v1/nguoi-dung/toi
F2.3 · GET /api/v1/de-tai/{id}
F2.9 · GET /api/v1/de-tai?trang_thai=&amp;gvhd_id=&amp;q=&amp;page=&amp;size=
F3.2 · GET /api/v1/moc-thoi-gian
F4.4 · GET /api/v1/de-tai/{id}/diem-nghiem-thu
F6.1 · GET /api/v1/thong-bao?page=&amp;size=
F6.2 · PATCH /api/v1/thong-bao/{id}/da-doc</t>
        </is>
      </c>
      <c r="F37" s="18" t="inlineStr">
        <is>
          <t>401 (API) hoặc chuyển về trang đăng nhập ở mọi điểm cuối; không trả dữ liệu</t>
        </is>
      </c>
      <c r="G37" s="18" t="inlineStr">
        <is>
          <t>Chưa chạy</t>
        </is>
      </c>
      <c r="H37" s="18" t="inlineStr">
        <is>
          <t>—</t>
        </is>
      </c>
    </row>
  </sheetData>
  <autoFilter ref="A4:H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46" customWidth="1" min="4" max="4"/>
    <col width="18" customWidth="1" min="5" max="5"/>
    <col width="8" customWidth="1" min="6" max="6"/>
  </cols>
  <sheetData>
    <row r="1">
      <c r="A1" s="1" t="inlineStr">
        <is>
          <t>CA KIỂM THỬ QUYỀN TRÊN ĐỐI TƯỢNG – hai tài khoản cùng vai trò (rủi ro BM4)</t>
        </is>
      </c>
    </row>
    <row r="2">
      <c r="A2" s="2" t="inlineStr">
        <is>
          <t>Tài khoản A là chủ sở hữu hoặc người phụ trách, tài khoản B thì không. Chụp ảnh cả lần gọi hợp lệ của A và lần gọi chéo của B (Ảnh 19).</t>
        </is>
      </c>
    </row>
    <row r="4">
      <c r="A4" s="4" t="inlineStr">
        <is>
          <t>Mã ca</t>
        </is>
      </c>
      <c r="B4" s="4" t="inlineStr">
        <is>
          <t>Module</t>
        </is>
      </c>
      <c r="C4" s="4" t="inlineStr">
        <is>
          <t>Tình huống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inlineStr">
        <is>
          <t>TC-DT-01</t>
        </is>
      </c>
      <c r="B5" s="6" t="inlineStr">
        <is>
          <t>M2</t>
        </is>
      </c>
      <c r="C5" s="6" t="inlineStr">
        <is>
          <t>Sinh viên nhóm khác gọi GET /api/v1/de-tai/{id} của nhóm A</t>
        </is>
      </c>
      <c r="D5" s="6" t="inlineStr">
        <is>
          <t>403 hoặc 404; không trả dữ liệu đề tài</t>
        </is>
      </c>
      <c r="E5" s="6" t="inlineStr">
        <is>
          <t>Chưa chạy</t>
        </is>
      </c>
      <c r="F5" s="6" t="inlineStr">
        <is>
          <t>—</t>
        </is>
      </c>
    </row>
    <row r="6">
      <c r="A6" s="6" t="inlineStr">
        <is>
          <t>TC-DT-02</t>
        </is>
      </c>
      <c r="B6" s="6" t="inlineStr">
        <is>
          <t>M2</t>
        </is>
      </c>
      <c r="C6" s="6" t="inlineStr">
        <is>
          <t>GVHD không được phân công gọi POST /api/v1/de-tai/{id}/duyet</t>
        </is>
      </c>
      <c r="D6" s="6" t="inlineStr">
        <is>
          <t>403; trạng thái không đổi; ghi nhật ký truy cập trái phép (UC02)</t>
        </is>
      </c>
      <c r="E6" s="6" t="inlineStr">
        <is>
          <t>Chưa chạy</t>
        </is>
      </c>
      <c r="F6" s="6" t="inlineStr">
        <is>
          <t>—</t>
        </is>
      </c>
    </row>
    <row r="7">
      <c r="A7" s="6" t="inlineStr">
        <is>
          <t>TC-DT-03</t>
        </is>
      </c>
      <c r="B7" s="6" t="inlineStr">
        <is>
          <t>M2</t>
        </is>
      </c>
      <c r="C7" s="6" t="inlineStr">
        <is>
          <t>Sinh viên nhóm khác gọi DELETE /api/v1/de-tai/{id}</t>
        </is>
      </c>
      <c r="D7" s="6" t="inlineStr">
        <is>
          <t>403 hoặc 404; đề tài không bị xóa</t>
        </is>
      </c>
      <c r="E7" s="6" t="inlineStr">
        <is>
          <t>Chưa chạy</t>
        </is>
      </c>
      <c r="F7" s="6" t="inlineStr">
        <is>
          <t>—</t>
        </is>
      </c>
    </row>
    <row r="8">
      <c r="A8" s="6" t="inlineStr">
        <is>
          <t>TC-DT-04</t>
        </is>
      </c>
      <c r="B8" s="6" t="inlineStr">
        <is>
          <t>M3</t>
        </is>
      </c>
      <c r="C8" s="6" t="inlineStr">
        <is>
          <t>Sinh viên nhóm khác gọi POST /api/v1/de-tai/{deTaiId}/bao-cao-moc</t>
        </is>
      </c>
      <c r="D8" s="6" t="inlineStr">
        <is>
          <t>403 hoặc 404; không tạo bản nộp</t>
        </is>
      </c>
      <c r="E8" s="6" t="inlineStr">
        <is>
          <t>Chưa chạy</t>
        </is>
      </c>
      <c r="F8" s="6" t="inlineStr">
        <is>
          <t>—</t>
        </is>
      </c>
    </row>
    <row r="9">
      <c r="A9" s="6" t="inlineStr">
        <is>
          <t>TC-DT-05</t>
        </is>
      </c>
      <c r="B9" s="6" t="inlineStr">
        <is>
          <t>M3</t>
        </is>
      </c>
      <c r="C9" s="6" t="inlineStr">
        <is>
          <t>GVHD không phụ trách gọi POST /api/v1/bao-cao-moc/{id}/duyet</t>
        </is>
      </c>
      <c r="D9" s="6" t="inlineStr">
        <is>
          <t>403; trạng thái mốc không đổi</t>
        </is>
      </c>
      <c r="E9" s="6" t="inlineStr">
        <is>
          <t>Chưa chạy</t>
        </is>
      </c>
      <c r="F9" s="6" t="inlineStr">
        <is>
          <t>—</t>
        </is>
      </c>
    </row>
    <row r="10">
      <c r="A10" s="6" t="inlineStr">
        <is>
          <t>TC-DT-06</t>
        </is>
      </c>
      <c r="B10" s="6" t="inlineStr">
        <is>
          <t>M3</t>
        </is>
      </c>
      <c r="C10" s="6" t="inlineStr">
        <is>
          <t>Sinh viên nhóm khác gọi GET /api/v1/bao-cao-moc/{id}</t>
        </is>
      </c>
      <c r="D10" s="6" t="inlineStr">
        <is>
          <t>403 hoặc 404; không lộ tệp báo cáo</t>
        </is>
      </c>
      <c r="E10" s="6" t="inlineStr">
        <is>
          <t>Chưa chạy</t>
        </is>
      </c>
      <c r="F10" s="6" t="inlineStr">
        <is>
          <t>—</t>
        </is>
      </c>
    </row>
    <row r="11">
      <c r="A11" s="6" t="inlineStr">
        <is>
          <t>TC-DT-07</t>
        </is>
      </c>
      <c r="B11" s="6" t="inlineStr">
        <is>
          <t>M4</t>
        </is>
      </c>
      <c r="C11" s="6" t="inlineStr">
        <is>
          <t>Hội đồng chấm điểm đề tài chưa đủ điều kiện nghiệm thu</t>
        </is>
      </c>
      <c r="D11" s="6" t="inlineStr">
        <is>
          <t>403 hoặc 422; không lưu điểm</t>
        </is>
      </c>
      <c r="E11" s="6" t="inlineStr">
        <is>
          <t>Chưa chạy</t>
        </is>
      </c>
      <c r="F11" s="6" t="inlineStr">
        <is>
          <t>—</t>
        </is>
      </c>
    </row>
    <row r="12">
      <c r="A12" s="6" t="inlineStr">
        <is>
          <t>TC-DT-08</t>
        </is>
      </c>
      <c r="B12" s="6" t="inlineStr">
        <is>
          <t>M2</t>
        </is>
      </c>
      <c r="C12" s="6" t="inlineStr">
        <is>
          <t>Sinh viên A gọi GET /api/v1/de-tai?page=1</t>
        </is>
      </c>
      <c r="D12" s="6" t="inlineStr">
        <is>
          <t>Chỉ trả đề tài của nhóm A, không lộ nhóm khác</t>
        </is>
      </c>
      <c r="E12" s="6" t="inlineStr">
        <is>
          <t>Chưa chạy</t>
        </is>
      </c>
      <c r="F12" s="6" t="inlineStr">
        <is>
          <t>—</t>
        </is>
      </c>
    </row>
    <row r="13">
      <c r="A13" s="6" t="inlineStr">
        <is>
          <t>TC-DT-09</t>
        </is>
      </c>
      <c r="B13" s="6" t="inlineStr">
        <is>
          <t>M1</t>
        </is>
      </c>
      <c r="C13" s="6" t="inlineStr">
        <is>
          <t>Khách gọi POST /api/v1/auth/dang-ky kèm trường vai trò quản trị</t>
        </is>
      </c>
      <c r="D13" s="6" t="inlineStr">
        <is>
          <t>Tài khoản tạo ra vẫn là Sinh viên, hoặc 422</t>
        </is>
      </c>
      <c r="E13" s="6" t="inlineStr">
        <is>
          <t>Chưa chạy</t>
        </is>
      </c>
      <c r="F13" s="6" t="inlineStr">
        <is>
          <t>—</t>
        </is>
      </c>
    </row>
    <row r="14">
      <c r="A14" s="6" t="inlineStr">
        <is>
          <t>TC-DT-10</t>
        </is>
      </c>
      <c r="B14" s="6" t="inlineStr">
        <is>
          <t>M1</t>
        </is>
      </c>
      <c r="C14" s="6" t="inlineStr">
        <is>
          <t>Người dùng gọi PATCH /api/v1/nguoi-dung/toi kèm vai trò hoặc id của người khác</t>
        </is>
      </c>
      <c r="D14" s="6" t="inlineStr">
        <is>
          <t>Vai trò và định danh không đổi</t>
        </is>
      </c>
      <c r="E14" s="6" t="inlineStr">
        <is>
          <t>Chưa chạy</t>
        </is>
      </c>
      <c r="F14" s="6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TỔNG HỢP – cập nhật tự động theo hai bảng ca kiểm thử</t>
        </is>
      </c>
    </row>
    <row r="3">
      <c r="A3" s="19" t="inlineStr">
        <is>
          <t>Số chức năng trong ma trận</t>
        </is>
      </c>
      <c r="B3" s="20">
        <f>SUMPRODUCT(--(LEFT('Ma tran phan quyen'!A6:A50,1)="F"))</f>
        <v/>
      </c>
    </row>
    <row r="4">
      <c r="A4" s="19" t="inlineStr">
        <is>
          <t>Số ca kiểm thử phân quyền (BM5)</t>
        </is>
      </c>
      <c r="B4" s="20">
        <f>COUNTA('Ca kiem thu phan quyen'!A5:A37)</f>
        <v/>
      </c>
    </row>
    <row r="5">
      <c r="A5" s="19" t="inlineStr">
        <is>
          <t>Số ca truy cập chéo (BM4)</t>
        </is>
      </c>
      <c r="B5" s="20">
        <f>COUNTA('Ca truy cap cheo'!A5:A14)</f>
        <v/>
      </c>
    </row>
    <row r="6">
      <c r="A6" s="19" t="inlineStr">
        <is>
          <t>Tổng số ca</t>
        </is>
      </c>
      <c r="B6" s="20">
        <f>B4+B5</f>
        <v/>
      </c>
    </row>
    <row r="7">
      <c r="A7" s="19" t="inlineStr">
        <is>
          <t>Số ca đã chạy</t>
        </is>
      </c>
      <c r="B7" s="20">
        <f>COUNTIF('Ca kiem thu phan quyen'!G5:G37,"&lt;&gt;Chưa chạy")+COUNTIF('Ca truy cap cheo'!E5:E14,"&lt;&gt;Chưa chạy")</f>
        <v/>
      </c>
    </row>
    <row r="8">
      <c r="A8" s="19" t="inlineStr">
        <is>
          <t>Số ca Đạt</t>
        </is>
      </c>
      <c r="B8" s="20">
        <f>COUNTIF('Ca kiem thu phan quyen'!H5:H37,"Đạt")+COUNTIF('Ca truy cap cheo'!F5:F14,"Đạt")</f>
        <v/>
      </c>
    </row>
    <row r="9">
      <c r="A9" s="19" t="inlineStr">
        <is>
          <t>Tỷ lệ đạt</t>
        </is>
      </c>
      <c r="B9" s="21">
        <f>IFERROR(B8/B7,0)</f>
        <v/>
      </c>
    </row>
    <row r="11">
      <c r="A11" s="2" t="inlineStr">
        <is>
          <t>Chỉ số V4 đẩy lên bảng điều khiển: số ca kiểm thử đã chạy = ô B7; tỷ lệ đạt = ô B9.</t>
        </is>
      </c>
    </row>
    <row r="12">
      <c r="A12" s="2" t="inlineStr">
        <is>
          <t>Cách dùng: khi chạy thật ở Buổi 8, điền cột "Kết quả thực tế" và "KL" (Đạt / Không đạt) ở hai sheet ca kiểm thử; các ô ở đây tự cập nhật.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6" customWidth="1" min="4" max="4"/>
    <col width="30" customWidth="1" min="5" max="5"/>
    <col width="12" customWidth="1" min="6" max="6"/>
  </cols>
  <sheetData>
    <row r="1">
      <c r="A1" s="1" t="inlineStr">
        <is>
          <t>KẾT QUẢ KIỂM THỬ CƠ SỞ DỮ LIỆU – BUỔI 3</t>
        </is>
      </c>
    </row>
    <row r="2">
      <c r="A2" s="2" t="inlineStr">
        <is>
          <t>Nguồn điểm cuối: Danh mục điểm cuối API - Buổi 03 (V3). Tệp kiểm thử CSDL: test.sql (bản dump của V2, MySQL 8.0, 11 bảng) · Môi trường: MariaDB 10.4.32 (XAMPP) trên Windows 11 · Ngày chạy: 23/09/2026 · Người chạy: Nguyễn Minh Hải (V4)</t>
        </is>
      </c>
    </row>
    <row r="4">
      <c r="A4" s="4" t="inlineStr">
        <is>
          <t>STT</t>
        </is>
      </c>
      <c r="B4" s="4" t="inlineStr">
        <is>
          <t>Phép thử</t>
        </is>
      </c>
      <c r="C4" s="4" t="inlineStr">
        <is>
          <t>Cách thực hiện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n">
        <v>1</v>
      </c>
      <c r="B5" s="6" t="inlineStr">
        <is>
          <t>Nạp lược đồ vào CSDL rỗng</t>
        </is>
      </c>
      <c r="C5" s="6" t="inlineStr">
        <is>
          <t>Tạo CSDL rỗng utf8mb4, nạp test.sql bằng dòng lệnh</t>
        </is>
      </c>
      <c r="D5" s="6" t="inlineStr">
        <is>
          <t>Tạo đủ bảng, không lỗi</t>
        </is>
      </c>
      <c r="E5" s="6" t="inlineStr">
        <is>
          <t>Tạo 11 bảng, không lỗi</t>
        </is>
      </c>
      <c r="F5" s="22" t="inlineStr">
        <is>
          <t>Đạt</t>
        </is>
      </c>
    </row>
    <row r="6">
      <c r="A6" s="6" t="n">
        <v>2</v>
      </c>
      <c r="B6" s="6" t="inlineStr">
        <is>
          <t>Chạy lại kịch bản lần hai</t>
        </is>
      </c>
      <c r="C6" s="6" t="inlineStr">
        <is>
          <t>Nạp lại test.sql đè lên CSDL đã có dữ liệu</t>
        </is>
      </c>
      <c r="D6" s="6" t="inlineStr">
        <is>
          <t>Không lỗi, dữ liệu trở về trạng thái đầu</t>
        </is>
      </c>
      <c r="E6" s="6" t="inlineStr">
        <is>
          <t>Không lỗi</t>
        </is>
      </c>
      <c r="F6" s="22" t="inlineStr">
        <is>
          <t>Đạt</t>
        </is>
      </c>
    </row>
    <row r="7">
      <c r="A7" s="6" t="n">
        <v>3</v>
      </c>
      <c r="B7" s="6" t="inlineStr">
        <is>
          <t>Hiển thị tiếng Việt</t>
        </is>
      </c>
      <c r="C7" s="6" t="inlineStr">
        <is>
          <t>SELECT ho_ten FROM nguoi_dung; SELECT ten_moc FROM moc_thoi_gian</t>
        </is>
      </c>
      <c r="D7" s="6" t="inlineStr">
        <is>
          <t>Hiển thị đúng dấu</t>
        </is>
      </c>
      <c r="E7" s="6" t="inlineStr">
        <is>
          <t>Đúng dấu, không lỗi phông</t>
        </is>
      </c>
      <c r="F7" s="22" t="inlineStr">
        <is>
          <t>Đạt</t>
        </is>
      </c>
    </row>
    <row r="8">
      <c r="A8" s="6" t="n">
        <v>4</v>
      </c>
      <c r="B8" s="6" t="inlineStr">
        <is>
          <t>Toàn vẹn khóa ngoại</t>
        </is>
      </c>
      <c r="C8" s="6" t="inlineStr">
        <is>
          <t>5 truy vấn LEFT JOIN tìm bản ghi mồ côi</t>
        </is>
      </c>
      <c r="D8" s="6" t="inlineStr">
        <is>
          <t>Kết quả rỗng (bằng 0)</t>
        </is>
      </c>
      <c r="E8" s="6" t="inlineStr">
        <is>
          <t>Cả 5 truy vấn đều bằng 0</t>
        </is>
      </c>
      <c r="F8" s="22" t="inlineStr">
        <is>
          <t>Đạt</t>
        </is>
      </c>
    </row>
    <row r="9">
      <c r="A9" s="6" t="n">
        <v>5</v>
      </c>
      <c r="B9" s="6" t="inlineStr">
        <is>
          <t>Chặn điểm ngoài thang 0 – 10 (UC06)</t>
        </is>
      </c>
      <c r="C9" s="6" t="inlineStr">
        <is>
          <t>INSERT INTO diem_nghiem_thu ... diem = 99</t>
        </is>
      </c>
      <c r="D9" s="6" t="inlineStr">
        <is>
          <t>Bị từ chối</t>
        </is>
      </c>
      <c r="E9" s="6" t="inlineStr">
        <is>
          <t>Lưu thành công điểm 99.00</t>
        </is>
      </c>
      <c r="F9" s="23" t="inlineStr">
        <is>
          <t>Không đạt</t>
        </is>
      </c>
    </row>
    <row r="10">
      <c r="A10" s="6" t="n">
        <v>6</v>
      </c>
      <c r="B10" s="6" t="inlineStr">
        <is>
          <t>Chặn giá trị trạng thái không hợp lệ</t>
        </is>
      </c>
      <c r="C10" s="6" t="inlineStr">
        <is>
          <t>UPDATE de_tai SET trang_thai = 'linh tinh'</t>
        </is>
      </c>
      <c r="D10" s="6" t="inlineStr">
        <is>
          <t>Bị từ chối</t>
        </is>
      </c>
      <c r="E10" s="6" t="inlineStr">
        <is>
          <t>Lưu thành công</t>
        </is>
      </c>
      <c r="F10" s="23" t="inlineStr">
        <is>
          <t>Không đạt</t>
        </is>
      </c>
    </row>
    <row r="11">
      <c r="A11" s="6" t="n">
        <v>7</v>
      </c>
      <c r="B11" s="6" t="inlineStr">
        <is>
          <t>Chặn gán GVHD cho người không phải giảng viên</t>
        </is>
      </c>
      <c r="C11" s="6" t="inlineStr">
        <is>
          <t>UPDATE de_tai SET gvhd_id = &lt;id sinh viên&gt;</t>
        </is>
      </c>
      <c r="D11" s="6" t="inlineStr">
        <is>
          <t>Bị từ chối</t>
        </is>
      </c>
      <c r="E11" s="6" t="inlineStr">
        <is>
          <t>Lưu thành công</t>
        </is>
      </c>
      <c r="F11" s="23" t="inlineStr">
        <is>
          <t>Không đạt</t>
        </is>
      </c>
    </row>
    <row r="13">
      <c r="B13" s="24" t="inlineStr">
        <is>
          <t>Ba phép thử Không đạt do lược đồ chưa có ràng buộc CHECK. Câu lệnh đề xuất bổ sung:</t>
        </is>
      </c>
    </row>
    <row r="14">
      <c r="B14" s="25" t="inlineStr">
        <is>
          <t>ALTER TABLE diem_nghiem_thu ADD CONSTRAINT chk_diem CHECK (diem &gt;= 0 AND diem &lt;= 10);</t>
        </is>
      </c>
    </row>
    <row r="15">
      <c r="B15" s="25" t="inlineStr">
        <is>
          <t>ALTER TABLE de_tai ADD CONSTRAINT chk_de_tai_trang_thai CHECK (trang_thai IN ('pending','approved','rejected','in_progress','accepted'));</t>
        </is>
      </c>
    </row>
    <row r="16">
      <c r="B16" s="25" t="inlineStr">
        <is>
          <t>ALTER TABLE bao_cao_moc ADD CONSTRAINT chk_bao_cao_trang_thai CHECK (trang_thai IN ('pending','approved','revision_required','overdue'));</t>
        </is>
      </c>
    </row>
    <row r="17">
      <c r="B17" s="25" t="inlineStr">
        <is>
          <t>Vai trò của GVHD phải kiểm ở tầng service (CSDL không chặn được) - ca kiểm thử của V4 ở Buổi 8.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2026-09-23T15:01:56Z</dcterms:created>
  <dcterms:modified xmlns:dcterms="http://purl.org/dc/terms/" xmlns:xsi="http://www.w3.org/2001/XMLSchema-instance" xsi:type="dcterms:W3CDTF">2026-09-23T15:01:56Z</dcterms:modified>
</cp:coreProperties>
</file>