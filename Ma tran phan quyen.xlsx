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an phan quyen" sheetId="1" state="visible" r:id="rId1"/>
    <sheet xmlns:r="http://schemas.openxmlformats.org/officeDocument/2006/relationships" name="Ca kiem thu phan quyen" sheetId="2" state="visible" r:id="rId2"/>
    <sheet xmlns:r="http://schemas.openxmlformats.org/officeDocument/2006/relationships" name="Ca truy cap cheo" sheetId="3" state="visible" r:id="rId3"/>
    <sheet xmlns:r="http://schemas.openxmlformats.org/officeDocument/2006/relationships" name="Ca kiem thu nghiep vu B5" sheetId="4" state="visible" r:id="rId4"/>
    <sheet xmlns:r="http://schemas.openxmlformats.org/officeDocument/2006/relationships" name="Ca kiem thu Buoi 6" sheetId="5" state="visible" r:id="rId5"/>
    <sheet xmlns:r="http://schemas.openxmlformats.org/officeDocument/2006/relationships" name="Ca kiem thu Buoi 7" sheetId="6" state="visible" r:id="rId6"/>
    <sheet xmlns:r="http://schemas.openxmlformats.org/officeDocument/2006/relationships" name="Ca kiem thu Buoi 8" sheetId="7" state="visible" r:id="rId7"/>
    <sheet xmlns:r="http://schemas.openxmlformats.org/officeDocument/2006/relationships" name="Bang 12 rui ro" sheetId="8" state="visible" r:id="rId8"/>
    <sheet xmlns:r="http://schemas.openxmlformats.org/officeDocument/2006/relationships" name="Bo 25 ca kiem thu" sheetId="9" state="visible" r:id="rId9"/>
    <sheet xmlns:r="http://schemas.openxmlformats.org/officeDocument/2006/relationships" name="Tong hop" sheetId="10" state="visible" r:id="rId10"/>
    <sheet xmlns:r="http://schemas.openxmlformats.org/officeDocument/2006/relationships" name="Kiem thu CSDL buoi 3" sheetId="11" state="visible" r:id="rId11"/>
  </sheets>
  <definedNames>
    <definedName name="_xlnm._FilterDatabase" localSheetId="1" hidden="1">'Ca kiem thu phan quyen'!$A$4:$H$37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color rgb="00808080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color rgb="00BF8F00"/>
      <sz val="10"/>
    </font>
    <font>
      <name val="Arial"/>
      <b val="1"/>
      <color rgb="00C00000"/>
      <sz val="11"/>
    </font>
    <font>
      <name val="Arial"/>
      <b val="1"/>
      <color rgb="00BF8F00"/>
      <sz val="11"/>
    </font>
    <font>
      <name val="Arial"/>
      <b val="1"/>
      <sz val="11"/>
    </font>
    <font>
      <name val="Arial"/>
      <sz val="11"/>
    </font>
    <font>
      <name val="Arial"/>
      <b val="1"/>
      <color rgb="00006100"/>
      <sz val="10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6F2E6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0" borderId="0" applyAlignment="1" pivotButton="0" quotePrefix="0" xfId="0">
      <alignment horizontal="center"/>
    </xf>
    <xf numFmtId="0" fontId="10" fillId="0" borderId="0" pivotButton="0" quotePrefix="0" xfId="0"/>
    <xf numFmtId="0" fontId="9" fillId="0" borderId="0" applyAlignment="1" pivotButton="0" quotePrefix="0" xfId="0">
      <alignment horizontal="center"/>
    </xf>
    <xf numFmtId="0" fontId="11" fillId="0" borderId="0" pivotButton="0" quotePrefix="0" xfId="0"/>
    <xf numFmtId="0" fontId="3" fillId="0" borderId="1" applyAlignment="1" pivotButton="0" quotePrefix="0" xfId="0">
      <alignment vertical="top" wrapText="1"/>
    </xf>
    <xf numFmtId="0" fontId="12" fillId="0" borderId="0" pivotButton="0" quotePrefix="0" xfId="0"/>
    <xf numFmtId="0" fontId="13" fillId="0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1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2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9" fontId="3" fillId="0" borderId="0" pivotButton="0" quotePrefix="0" xfId="0"/>
    <xf numFmtId="0" fontId="4" fillId="2" borderId="6" pivotButton="0" quotePrefix="0" xfId="0"/>
    <xf numFmtId="0" fontId="3" fillId="0" borderId="6" pivotButton="0" quotePrefix="0" xfId="0"/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46" customWidth="1" min="4" max="4"/>
    <col width="12" customWidth="1" min="5" max="5"/>
    <col width="14" customWidth="1" min="6" max="6"/>
    <col width="16" customWidth="1" min="7" max="7"/>
    <col width="18" customWidth="1" min="8" max="8"/>
    <col width="18" customWidth="1" min="9" max="9"/>
    <col width="12" customWidth="1" min="10" max="10"/>
    <col width="10" customWidth="1" min="11" max="11"/>
  </cols>
  <sheetData>
    <row r="1">
      <c r="A1" s="1" t="inlineStr">
        <is>
          <t>MA TRẬN PHÂN QUYỀN – Nhóm 13 – DT13 – Hệ thống Quản lý Đồ án và Đề tài Nghiên cứu</t>
        </is>
      </c>
    </row>
    <row r="2">
      <c r="A2" s="2" t="n"/>
    </row>
    <row r="3">
      <c r="A3" s="3" t="n"/>
    </row>
    <row r="5">
      <c r="A5" s="4" t="inlineStr">
        <is>
          <t>Mã</t>
        </is>
      </c>
      <c r="B5" s="4" t="inlineStr">
        <is>
          <t>Chức năng</t>
        </is>
      </c>
      <c r="C5" s="4" t="inlineStr">
        <is>
          <t>YCCN / Khối</t>
        </is>
      </c>
      <c r="D5" s="4" t="inlineStr">
        <is>
          <t>Điểm cuối</t>
        </is>
      </c>
      <c r="E5" s="4" t="inlineStr">
        <is>
          <t>Khách</t>
        </is>
      </c>
      <c r="F5" s="4" t="inlineStr">
        <is>
          <t>Sinh viên</t>
        </is>
      </c>
      <c r="G5" s="4" t="inlineStr">
        <is>
          <t>GVHD</t>
        </is>
      </c>
      <c r="H5" s="4" t="inlineStr">
        <is>
          <t>Thư ký khoa / QTV</t>
        </is>
      </c>
      <c r="I5" s="4" t="inlineStr">
        <is>
          <t>Hội đồng</t>
        </is>
      </c>
      <c r="J5" s="4" t="inlineStr">
        <is>
          <t>Nhóm quyền</t>
        </is>
      </c>
      <c r="K5" s="4" t="n"/>
    </row>
    <row r="6">
      <c r="A6" s="5" t="inlineStr">
        <is>
          <t>M1. Quản lý người dùng &amp; phân quyền (K1, K2)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7" t="n"/>
    </row>
    <row r="7">
      <c r="A7" s="6" t="inlineStr">
        <is>
          <t>F1.1</t>
        </is>
      </c>
      <c r="B7" s="6" t="inlineStr">
        <is>
          <t>Đăng ký tài khoản</t>
        </is>
      </c>
      <c r="C7" s="6" t="inlineStr">
        <is>
          <t>YCCN-01</t>
        </is>
      </c>
      <c r="D7" s="6" t="inlineStr">
        <is>
          <t>POST /api/v1/auth/dang-ky</t>
        </is>
      </c>
      <c r="E7" s="8" t="inlineStr">
        <is>
          <t>Có</t>
        </is>
      </c>
      <c r="F7" s="9" t="inlineStr">
        <is>
          <t>—</t>
        </is>
      </c>
      <c r="G7" s="9" t="inlineStr">
        <is>
          <t>—</t>
        </is>
      </c>
      <c r="H7" s="9" t="inlineStr">
        <is>
          <t>—</t>
        </is>
      </c>
      <c r="I7" s="9" t="inlineStr">
        <is>
          <t>—</t>
        </is>
      </c>
      <c r="J7" s="10" t="inlineStr">
        <is>
          <t>—</t>
        </is>
      </c>
    </row>
    <row r="8">
      <c r="A8" s="6" t="inlineStr">
        <is>
          <t>F1.2</t>
        </is>
      </c>
      <c r="B8" s="6" t="inlineStr">
        <is>
          <t>Đăng nhập / đăng xuất</t>
        </is>
      </c>
      <c r="C8" s="6" t="inlineStr">
        <is>
          <t>YCCN-02</t>
        </is>
      </c>
      <c r="D8" s="6" t="inlineStr">
        <is>
          <t>POST /api/v1/auth/dang-nhap · /dang-xuat</t>
        </is>
      </c>
      <c r="E8" s="8" t="inlineStr">
        <is>
          <t>Có</t>
        </is>
      </c>
      <c r="F8" s="8" t="inlineStr">
        <is>
          <t>Có</t>
        </is>
      </c>
      <c r="G8" s="8" t="inlineStr">
        <is>
          <t>Có</t>
        </is>
      </c>
      <c r="H8" s="8" t="inlineStr">
        <is>
          <t>Có</t>
        </is>
      </c>
      <c r="I8" s="8" t="inlineStr">
        <is>
          <t>Có</t>
        </is>
      </c>
      <c r="J8" s="10" t="inlineStr">
        <is>
          <t>—</t>
        </is>
      </c>
    </row>
    <row r="9">
      <c r="A9" s="6" t="inlineStr">
        <is>
          <t>F1.3</t>
        </is>
      </c>
      <c r="B9" s="6" t="inlineStr">
        <is>
          <t>Khôi phục mật khẩu</t>
        </is>
      </c>
      <c r="C9" s="6" t="inlineStr">
        <is>
          <t>YCCN-04</t>
        </is>
      </c>
      <c r="D9" s="6" t="inlineStr">
        <is>
          <t>POST /api/v1/auth/quen-mat-khau · /dat-lai-mat-khau (mã đặt lại một lần do thư ký khoa cấp)</t>
        </is>
      </c>
      <c r="E9" s="8" t="inlineStr">
        <is>
          <t>Có</t>
        </is>
      </c>
      <c r="F9" s="9" t="inlineStr">
        <is>
          <t>—</t>
        </is>
      </c>
      <c r="G9" s="9" t="inlineStr">
        <is>
          <t>—</t>
        </is>
      </c>
      <c r="H9" s="9" t="inlineStr">
        <is>
          <t>—</t>
        </is>
      </c>
      <c r="I9" s="9" t="inlineStr">
        <is>
          <t>—</t>
        </is>
      </c>
      <c r="J9" s="10" t="inlineStr">
        <is>
          <t>—</t>
        </is>
      </c>
    </row>
    <row r="10">
      <c r="A10" s="6" t="inlineStr">
        <is>
          <t>F1.4</t>
        </is>
      </c>
      <c r="B10" s="6" t="inlineStr">
        <is>
          <t>Đổi mật khẩu</t>
        </is>
      </c>
      <c r="C10" s="6" t="inlineStr">
        <is>
          <t>YCCN-03</t>
        </is>
      </c>
      <c r="D10" s="6" t="inlineStr">
        <is>
          <t>PATCH /api/v1/nguoi-dung/toi/mat-khau</t>
        </is>
      </c>
      <c r="E10" s="11" t="inlineStr">
        <is>
          <t>Không</t>
        </is>
      </c>
      <c r="F10" s="12" t="inlineStr">
        <is>
          <t>Của mình</t>
        </is>
      </c>
      <c r="G10" s="12" t="inlineStr">
        <is>
          <t>Của mình</t>
        </is>
      </c>
      <c r="H10" s="12" t="inlineStr">
        <is>
          <t>Của mình</t>
        </is>
      </c>
      <c r="I10" s="12" t="inlineStr">
        <is>
          <t>Của mình</t>
        </is>
      </c>
      <c r="J10" s="10" t="inlineStr">
        <is>
          <t>G10</t>
        </is>
      </c>
    </row>
    <row r="11">
      <c r="A11" s="6" t="inlineStr">
        <is>
          <t>F1.5</t>
        </is>
      </c>
      <c r="B11" s="6" t="inlineStr">
        <is>
          <t>Xem, cập nhật hồ sơ cá nhân</t>
        </is>
      </c>
      <c r="C11" s="6" t="inlineStr">
        <is>
          <t>YCCN-22</t>
        </is>
      </c>
      <c r="D11" s="6" t="inlineStr">
        <is>
          <t>GET/PATCH /api/v1/nguoi-dung/toi</t>
        </is>
      </c>
      <c r="E11" s="11" t="inlineStr">
        <is>
          <t>Không</t>
        </is>
      </c>
      <c r="F11" s="12" t="inlineStr">
        <is>
          <t>Của mình</t>
        </is>
      </c>
      <c r="G11" s="12" t="inlineStr">
        <is>
          <t>Của mình</t>
        </is>
      </c>
      <c r="H11" s="12" t="inlineStr">
        <is>
          <t>Của mình</t>
        </is>
      </c>
      <c r="I11" s="12" t="inlineStr">
        <is>
          <t>Của mình</t>
        </is>
      </c>
      <c r="J11" s="10" t="inlineStr">
        <is>
          <t>G10</t>
        </is>
      </c>
    </row>
    <row r="12">
      <c r="A12" s="6" t="inlineStr">
        <is>
          <t>F1.6</t>
        </is>
      </c>
      <c r="B12" s="6" t="inlineStr">
        <is>
          <t>Quản lý tài khoản, khóa/mở, đổi vai trò</t>
        </is>
      </c>
      <c r="C12" s="6" t="inlineStr">
        <is>
          <t>—</t>
        </is>
      </c>
      <c r="D12" s="6" t="inlineStr">
        <is>
          <t>GET/POST /api/v1/nguoi-dung · GET /api/v1/nguoi-dung/{id} · PATCH /api/v1/nguoi-dung/{id}/trang-thai · POST /api/v1/nguoi-dung/{id}/ma-dat-lai</t>
        </is>
      </c>
      <c r="E12" s="11" t="inlineStr">
        <is>
          <t>Không</t>
        </is>
      </c>
      <c r="F12" s="11" t="inlineStr">
        <is>
          <t>Không</t>
        </is>
      </c>
      <c r="G12" s="11" t="inlineStr">
        <is>
          <t>Không</t>
        </is>
      </c>
      <c r="H12" s="8" t="inlineStr">
        <is>
          <t>Có</t>
        </is>
      </c>
      <c r="I12" s="11" t="inlineStr">
        <is>
          <t>Không</t>
        </is>
      </c>
      <c r="J12" s="10" t="inlineStr">
        <is>
          <t>G1</t>
        </is>
      </c>
    </row>
    <row r="13">
      <c r="A13" s="5" t="inlineStr">
        <is>
          <t>M2. Quản lý đề tài (K3, K4, K5, K10)</t>
        </is>
      </c>
      <c r="B13" s="26" t="n"/>
      <c r="C13" s="26" t="n"/>
      <c r="D13" s="26" t="n"/>
      <c r="E13" s="26" t="n"/>
      <c r="F13" s="26" t="n"/>
      <c r="G13" s="26" t="n"/>
      <c r="H13" s="26" t="n"/>
      <c r="I13" s="26" t="n"/>
      <c r="J13" s="27" t="n"/>
    </row>
    <row r="14">
      <c r="A14" s="6" t="inlineStr">
        <is>
          <t>F2.1</t>
        </is>
      </c>
      <c r="B14" s="6" t="inlineStr">
        <is>
          <t>Trang danh sách đề tài công khai</t>
        </is>
      </c>
      <c r="C14" s="6" t="inlineStr">
        <is>
          <t>YCCN-21</t>
        </is>
      </c>
      <c r="D14" s="6" t="inlineStr">
        <is>
          <t>GET /api/v1/public/de-tai</t>
        </is>
      </c>
      <c r="E14" s="8" t="inlineStr">
        <is>
          <t>Có</t>
        </is>
      </c>
      <c r="F14" s="8" t="inlineStr">
        <is>
          <t>Có</t>
        </is>
      </c>
      <c r="G14" s="8" t="inlineStr">
        <is>
          <t>Có</t>
        </is>
      </c>
      <c r="H14" s="8" t="inlineStr">
        <is>
          <t>Có</t>
        </is>
      </c>
      <c r="I14" s="8" t="inlineStr">
        <is>
          <t>Có</t>
        </is>
      </c>
      <c r="J14" s="10" t="inlineStr">
        <is>
          <t>—</t>
        </is>
      </c>
    </row>
    <row r="15">
      <c r="A15" s="6" t="inlineStr">
        <is>
          <t>F2.2</t>
        </is>
      </c>
      <c r="B15" s="6" t="inlineStr">
        <is>
          <t>Đề xuất đề tài mới</t>
        </is>
      </c>
      <c r="C15" s="6" t="inlineStr">
        <is>
          <t>YCCN-05</t>
        </is>
      </c>
      <c r="D15" s="6" t="inlineStr">
        <is>
          <t>POST /api/v1/de-tai</t>
        </is>
      </c>
      <c r="E15" s="11" t="inlineStr">
        <is>
          <t>Không</t>
        </is>
      </c>
      <c r="F15" s="12" t="inlineStr">
        <is>
          <t>Nhóm mình</t>
        </is>
      </c>
      <c r="G15" s="11" t="inlineStr">
        <is>
          <t>Không</t>
        </is>
      </c>
      <c r="H15" s="11" t="inlineStr">
        <is>
          <t>Không</t>
        </is>
      </c>
      <c r="I15" s="11" t="inlineStr">
        <is>
          <t>Không</t>
        </is>
      </c>
      <c r="J15" s="10" t="inlineStr">
        <is>
          <t>G3</t>
        </is>
      </c>
    </row>
    <row r="16">
      <c r="A16" s="6" t="inlineStr">
        <is>
          <t>F2.3</t>
        </is>
      </c>
      <c r="B16" s="6" t="inlineStr">
        <is>
          <t>Xem chi tiết đề tài</t>
        </is>
      </c>
      <c r="C16" s="6" t="inlineStr">
        <is>
          <t>—</t>
        </is>
      </c>
      <c r="D16" s="6" t="inlineStr">
        <is>
          <t>GET /api/v1/de-tai/{id}</t>
        </is>
      </c>
      <c r="E16" s="11" t="inlineStr">
        <is>
          <t>Không</t>
        </is>
      </c>
      <c r="F16" s="12" t="inlineStr">
        <is>
          <t>Nhóm mình</t>
        </is>
      </c>
      <c r="G16" s="12" t="inlineStr">
        <is>
          <t>Nhóm phụ trách</t>
        </is>
      </c>
      <c r="H16" s="8" t="inlineStr">
        <is>
          <t>Có</t>
        </is>
      </c>
      <c r="I16" s="12" t="inlineStr">
        <is>
          <t>Đủ ĐK nghiệm thu</t>
        </is>
      </c>
      <c r="J16" s="10" t="inlineStr">
        <is>
          <t>G10</t>
        </is>
      </c>
    </row>
    <row r="17">
      <c r="A17" s="6" t="inlineStr">
        <is>
          <t>F2.4</t>
        </is>
      </c>
      <c r="B17" s="6" t="inlineStr">
        <is>
          <t>Cập nhật đề tài khi còn ở trạng thái đề xuất</t>
        </is>
      </c>
      <c r="C17" s="6" t="inlineStr">
        <is>
          <t>—</t>
        </is>
      </c>
      <c r="D17" s="6" t="inlineStr">
        <is>
          <t>PATCH /api/v1/de-tai/{id}</t>
        </is>
      </c>
      <c r="E17" s="11" t="inlineStr">
        <is>
          <t>Không</t>
        </is>
      </c>
      <c r="F17" s="12" t="inlineStr">
        <is>
          <t>Chủ đề tài</t>
        </is>
      </c>
      <c r="G17" s="11" t="inlineStr">
        <is>
          <t>Không</t>
        </is>
      </c>
      <c r="H17" s="11" t="inlineStr">
        <is>
          <t>Không</t>
        </is>
      </c>
      <c r="I17" s="11" t="inlineStr">
        <is>
          <t>Không</t>
        </is>
      </c>
      <c r="J17" s="10" t="inlineStr">
        <is>
          <t>G3</t>
        </is>
      </c>
    </row>
    <row r="18">
      <c r="A18" s="6" t="inlineStr">
        <is>
          <t>F2.5</t>
        </is>
      </c>
      <c r="B18" s="6" t="inlineStr">
        <is>
          <t>Xóa đề xuất chưa duyệt</t>
        </is>
      </c>
      <c r="C18" s="6" t="inlineStr">
        <is>
          <t>—</t>
        </is>
      </c>
      <c r="D18" s="6" t="inlineStr">
        <is>
          <t>DELETE /api/v1/de-tai/{id}</t>
        </is>
      </c>
      <c r="E18" s="11" t="inlineStr">
        <is>
          <t>Không</t>
        </is>
      </c>
      <c r="F18" s="12" t="inlineStr">
        <is>
          <t>Chủ đề tài</t>
        </is>
      </c>
      <c r="G18" s="11" t="inlineStr">
        <is>
          <t>Không</t>
        </is>
      </c>
      <c r="H18" s="11" t="inlineStr">
        <is>
          <t>Không</t>
        </is>
      </c>
      <c r="I18" s="11" t="inlineStr">
        <is>
          <t>Không</t>
        </is>
      </c>
      <c r="J18" s="10" t="inlineStr">
        <is>
          <t>G3</t>
        </is>
      </c>
    </row>
    <row r="19">
      <c r="A19" s="6" t="inlineStr">
        <is>
          <t>F2.6</t>
        </is>
      </c>
      <c r="B19" s="6" t="inlineStr">
        <is>
          <t>Duyệt đề tài</t>
        </is>
      </c>
      <c r="C19" s="6" t="inlineStr">
        <is>
          <t>YCCN-06</t>
        </is>
      </c>
      <c r="D19" s="6" t="inlineStr">
        <is>
          <t>POST /api/v1/de-tai/{id}/duyet</t>
        </is>
      </c>
      <c r="E19" s="11" t="inlineStr">
        <is>
          <t>Không</t>
        </is>
      </c>
      <c r="F19" s="11" t="inlineStr">
        <is>
          <t>Không</t>
        </is>
      </c>
      <c r="G19" s="12" t="inlineStr">
        <is>
          <t>Nhóm phụ trách</t>
        </is>
      </c>
      <c r="H19" s="11" t="inlineStr">
        <is>
          <t>Không</t>
        </is>
      </c>
      <c r="I19" s="11" t="inlineStr">
        <is>
          <t>Không</t>
        </is>
      </c>
      <c r="J19" s="10" t="inlineStr">
        <is>
          <t>G2</t>
        </is>
      </c>
    </row>
    <row r="20">
      <c r="A20" s="6" t="inlineStr">
        <is>
          <t>F2.7</t>
        </is>
      </c>
      <c r="B20" s="6" t="inlineStr">
        <is>
          <t>Từ chối, yêu cầu chỉnh sửa đề tài</t>
        </is>
      </c>
      <c r="C20" s="6" t="inlineStr">
        <is>
          <t>YCCN-06</t>
        </is>
      </c>
      <c r="D20" s="6" t="inlineStr">
        <is>
          <t>POST /api/v1/de-tai/{id}/tu-choi</t>
        </is>
      </c>
      <c r="E20" s="11" t="inlineStr">
        <is>
          <t>Không</t>
        </is>
      </c>
      <c r="F20" s="11" t="inlineStr">
        <is>
          <t>Không</t>
        </is>
      </c>
      <c r="G20" s="12" t="inlineStr">
        <is>
          <t>Nhóm phụ trách</t>
        </is>
      </c>
      <c r="H20" s="11" t="inlineStr">
        <is>
          <t>Không</t>
        </is>
      </c>
      <c r="I20" s="11" t="inlineStr">
        <is>
          <t>Không</t>
        </is>
      </c>
      <c r="J20" s="10" t="inlineStr">
        <is>
          <t>G2</t>
        </is>
      </c>
    </row>
    <row r="21">
      <c r="A21" s="6" t="inlineStr">
        <is>
          <t>F2.8</t>
        </is>
      </c>
      <c r="B21" s="6" t="inlineStr">
        <is>
          <t>Phân công GVHD cho nhóm</t>
        </is>
      </c>
      <c r="C21" s="6" t="inlineStr">
        <is>
          <t>YCCN-07</t>
        </is>
      </c>
      <c r="D21" s="6" t="inlineStr">
        <is>
          <t>PATCH /api/v1/nhom-sinh-vien/{id}/gvhd</t>
        </is>
      </c>
      <c r="E21" s="11" t="inlineStr">
        <is>
          <t>Không</t>
        </is>
      </c>
      <c r="F21" s="11" t="inlineStr">
        <is>
          <t>Không</t>
        </is>
      </c>
      <c r="G21" s="11" t="inlineStr">
        <is>
          <t>Không</t>
        </is>
      </c>
      <c r="H21" s="8" t="inlineStr">
        <is>
          <t>Có</t>
        </is>
      </c>
      <c r="I21" s="11" t="inlineStr">
        <is>
          <t>Không</t>
        </is>
      </c>
      <c r="J21" s="10" t="inlineStr">
        <is>
          <t>G1</t>
        </is>
      </c>
    </row>
    <row r="22">
      <c r="A22" s="6" t="inlineStr">
        <is>
          <t>F2.9</t>
        </is>
      </c>
      <c r="B22" s="6" t="inlineStr">
        <is>
          <t>Tìm kiếm, lọc, phân trang đề tài</t>
        </is>
      </c>
      <c r="C22" s="6" t="inlineStr">
        <is>
          <t>YCCN-13, 14</t>
        </is>
      </c>
      <c r="D22" s="6" t="inlineStr">
        <is>
          <t>GET /api/v1/de-tai?trang_thai=&amp;gvhd_id=&amp;q=&amp;page=&amp;size=</t>
        </is>
      </c>
      <c r="E22" s="11" t="inlineStr">
        <is>
          <t>Không</t>
        </is>
      </c>
      <c r="F22" s="12" t="inlineStr">
        <is>
          <t>Trong phạm vi</t>
        </is>
      </c>
      <c r="G22" s="12" t="inlineStr">
        <is>
          <t>Trong phạm vi</t>
        </is>
      </c>
      <c r="H22" s="8" t="inlineStr">
        <is>
          <t>Có</t>
        </is>
      </c>
      <c r="I22" s="12" t="inlineStr">
        <is>
          <t>Trong phạm vi</t>
        </is>
      </c>
      <c r="J22" s="10" t="inlineStr">
        <is>
          <t>G10</t>
        </is>
      </c>
    </row>
    <row r="23">
      <c r="A23" s="6" t="inlineStr">
        <is>
          <t>F2.10</t>
        </is>
      </c>
      <c r="B23" s="6" t="inlineStr">
        <is>
          <t>Quản lý nhóm sinh viên</t>
        </is>
      </c>
      <c r="C23" s="6" t="inlineStr">
        <is>
          <t>—</t>
        </is>
      </c>
      <c r="D23" s="6" t="inlineStr">
        <is>
          <t>GET /api/v1/nhom-sinh-vien/{id} (ma nhom = ma de tai)</t>
        </is>
      </c>
      <c r="E23" s="11" t="inlineStr">
        <is>
          <t>Không</t>
        </is>
      </c>
      <c r="F23" s="12" t="inlineStr">
        <is>
          <t>Nhóm mình</t>
        </is>
      </c>
      <c r="G23" s="11" t="inlineStr">
        <is>
          <t>Không</t>
        </is>
      </c>
      <c r="H23" s="8" t="inlineStr">
        <is>
          <t>Có</t>
        </is>
      </c>
      <c r="I23" s="11" t="inlineStr">
        <is>
          <t>Không</t>
        </is>
      </c>
      <c r="J23" s="10" t="inlineStr">
        <is>
          <t>G9</t>
        </is>
      </c>
    </row>
    <row r="24">
      <c r="A24" s="6" t="inlineStr">
        <is>
          <t>F2.11</t>
        </is>
      </c>
      <c r="B24" s="6" t="inlineStr">
        <is>
          <t>Thêm, xóa thành viên nhóm</t>
        </is>
      </c>
      <c r="C24" s="6" t="inlineStr">
        <is>
          <t>—</t>
        </is>
      </c>
      <c r="D24" s="6" t="inlineStr">
        <is>
          <t>POST /api/v1/nhom-sinh-vien/{id}/thanh-vien · DELETE /api/v1/nhom-sinh-vien/{id}/thanh-vien/{svId}</t>
        </is>
      </c>
      <c r="E24" s="11" t="inlineStr">
        <is>
          <t>Không</t>
        </is>
      </c>
      <c r="F24" s="12" t="inlineStr">
        <is>
          <t>Nhóm mình</t>
        </is>
      </c>
      <c r="G24" s="11" t="inlineStr">
        <is>
          <t>Không</t>
        </is>
      </c>
      <c r="H24" s="8" t="inlineStr">
        <is>
          <t>Có</t>
        </is>
      </c>
      <c r="I24" s="11" t="inlineStr">
        <is>
          <t>Không</t>
        </is>
      </c>
      <c r="J24" s="10" t="inlineStr">
        <is>
          <t>G9</t>
        </is>
      </c>
    </row>
    <row r="25">
      <c r="A25" s="5" t="inlineStr">
        <is>
          <t>M3. Quản lý tiến độ &amp; báo cáo theo mốc (K3, K6)</t>
        </is>
      </c>
      <c r="B25" s="26" t="n"/>
      <c r="C25" s="26" t="n"/>
      <c r="D25" s="26" t="n"/>
      <c r="E25" s="26" t="n"/>
      <c r="F25" s="26" t="n"/>
      <c r="G25" s="26" t="n"/>
      <c r="H25" s="26" t="n"/>
      <c r="I25" s="26" t="n"/>
      <c r="J25" s="27" t="n"/>
    </row>
    <row r="26">
      <c r="A26" s="6" t="inlineStr">
        <is>
          <t>F3.1</t>
        </is>
      </c>
      <c r="B26" s="6" t="inlineStr">
        <is>
          <t>Cấu hình lớp học phần và mốc thời gian chung</t>
        </is>
      </c>
      <c r="C26" s="6" t="inlineStr">
        <is>
          <t>YCCN-08</t>
        </is>
      </c>
      <c r="D26" s="6" t="inlineStr">
        <is>
          <t>POST/PATCH/DELETE /api/v1/lop-hoc-phan · POST /api/v1/moc-thoi-gian · DELETE /api/v1/moc-thoi-gian/{id}</t>
        </is>
      </c>
      <c r="E26" s="11" t="inlineStr">
        <is>
          <t>Không</t>
        </is>
      </c>
      <c r="F26" s="11" t="inlineStr">
        <is>
          <t>Không</t>
        </is>
      </c>
      <c r="G26" s="11" t="inlineStr">
        <is>
          <t>Không</t>
        </is>
      </c>
      <c r="H26" s="8" t="inlineStr">
        <is>
          <t>Có</t>
        </is>
      </c>
      <c r="I26" s="11" t="inlineStr">
        <is>
          <t>Không</t>
        </is>
      </c>
      <c r="J26" s="10" t="inlineStr">
        <is>
          <t>G1</t>
        </is>
      </c>
    </row>
    <row r="27">
      <c r="A27" s="6" t="inlineStr">
        <is>
          <t>F3.2</t>
        </is>
      </c>
      <c r="B27" s="6" t="inlineStr">
        <is>
          <t>Xem danh sách lớp học phần, mốc</t>
        </is>
      </c>
      <c r="C27" s="6" t="inlineStr">
        <is>
          <t>YCCN-08</t>
        </is>
      </c>
      <c r="D27" s="6" t="inlineStr">
        <is>
          <t>GET /api/v1/lop-hoc-phan · GET /api/v1/moc-thoi-gian?lop_hoc_phan_id=</t>
        </is>
      </c>
      <c r="E27" s="11" t="inlineStr">
        <is>
          <t>Không</t>
        </is>
      </c>
      <c r="F27" s="8" t="inlineStr">
        <is>
          <t>Có</t>
        </is>
      </c>
      <c r="G27" s="8" t="inlineStr">
        <is>
          <t>Có</t>
        </is>
      </c>
      <c r="H27" s="8" t="inlineStr">
        <is>
          <t>Có</t>
        </is>
      </c>
      <c r="I27" s="8" t="inlineStr">
        <is>
          <t>Có</t>
        </is>
      </c>
      <c r="J27" s="10" t="inlineStr">
        <is>
          <t>G10</t>
        </is>
      </c>
    </row>
    <row r="28">
      <c r="A28" s="6" t="inlineStr">
        <is>
          <t>F3.3</t>
        </is>
      </c>
      <c r="B28" s="6" t="inlineStr">
        <is>
          <t>Cập nhật mốc</t>
        </is>
      </c>
      <c r="C28" s="6" t="inlineStr">
        <is>
          <t>YCCN-08</t>
        </is>
      </c>
      <c r="D28" s="6" t="inlineStr">
        <is>
          <t>PATCH /api/v1/moc-thoi-gian/{id}</t>
        </is>
      </c>
      <c r="E28" s="11" t="inlineStr">
        <is>
          <t>Không</t>
        </is>
      </c>
      <c r="F28" s="11" t="inlineStr">
        <is>
          <t>Không</t>
        </is>
      </c>
      <c r="G28" s="11" t="inlineStr">
        <is>
          <t>Không</t>
        </is>
      </c>
      <c r="H28" s="8" t="inlineStr">
        <is>
          <t>Có</t>
        </is>
      </c>
      <c r="I28" s="11" t="inlineStr">
        <is>
          <t>Không</t>
        </is>
      </c>
      <c r="J28" s="10" t="inlineStr">
        <is>
          <t>G1</t>
        </is>
      </c>
    </row>
    <row r="29">
      <c r="A29" s="6" t="inlineStr">
        <is>
          <t>F3.4</t>
        </is>
      </c>
      <c r="B29" s="6" t="inlineStr">
        <is>
          <t>Nộp báo cáo tiến độ theo mốc</t>
        </is>
      </c>
      <c r="C29" s="6" t="inlineStr">
        <is>
          <t>YCCN-09</t>
        </is>
      </c>
      <c r="D29" s="6" t="inlineStr">
        <is>
          <t>POST /api/v1/de-tai/{deTaiId}/bao-cao-moc</t>
        </is>
      </c>
      <c r="E29" s="11" t="inlineStr">
        <is>
          <t>Không</t>
        </is>
      </c>
      <c r="F29" s="12" t="inlineStr">
        <is>
          <t>Chủ đề tài</t>
        </is>
      </c>
      <c r="G29" s="11" t="inlineStr">
        <is>
          <t>Không</t>
        </is>
      </c>
      <c r="H29" s="11" t="inlineStr">
        <is>
          <t>Không</t>
        </is>
      </c>
      <c r="I29" s="11" t="inlineStr">
        <is>
          <t>Không</t>
        </is>
      </c>
      <c r="J29" s="10" t="inlineStr">
        <is>
          <t>G3</t>
        </is>
      </c>
    </row>
    <row r="30">
      <c r="A30" s="6" t="inlineStr">
        <is>
          <t>F3.5</t>
        </is>
      </c>
      <c r="B30" s="6" t="inlineStr">
        <is>
          <t>Nộp lại khi bị yêu cầu bổ sung (tạo bản nộp mới)</t>
        </is>
      </c>
      <c r="C30" s="6" t="inlineStr">
        <is>
          <t>YCCN-09</t>
        </is>
      </c>
      <c r="D30" s="6" t="inlineStr">
        <is>
          <t>POST /api/v1/bao-cao-moc/{id}</t>
        </is>
      </c>
      <c r="E30" s="11" t="inlineStr">
        <is>
          <t>Không</t>
        </is>
      </c>
      <c r="F30" s="12" t="inlineStr">
        <is>
          <t>Chủ đề tài</t>
        </is>
      </c>
      <c r="G30" s="11" t="inlineStr">
        <is>
          <t>Không</t>
        </is>
      </c>
      <c r="H30" s="11" t="inlineStr">
        <is>
          <t>Không</t>
        </is>
      </c>
      <c r="I30" s="11" t="inlineStr">
        <is>
          <t>Không</t>
        </is>
      </c>
      <c r="J30" s="10" t="inlineStr">
        <is>
          <t>G3</t>
        </is>
      </c>
    </row>
    <row r="31">
      <c r="A31" s="6" t="inlineStr">
        <is>
          <t>F3.6</t>
        </is>
      </c>
      <c r="B31" s="6" t="inlineStr">
        <is>
          <t>Xem báo cáo mốc (chi tiết, danh sách theo đề tài)</t>
        </is>
      </c>
      <c r="C31" s="6" t="inlineStr">
        <is>
          <t>—</t>
        </is>
      </c>
      <c r="D31" s="6" t="inlineStr">
        <is>
          <t>GET /api/v1/bao-cao-moc/{id} · GET /api/v1/de-tai/{deTaiId}/bao-cao-moc</t>
        </is>
      </c>
      <c r="E31" s="11" t="inlineStr">
        <is>
          <t>Không</t>
        </is>
      </c>
      <c r="F31" s="12" t="inlineStr">
        <is>
          <t>Nhóm mình</t>
        </is>
      </c>
      <c r="G31" s="12" t="inlineStr">
        <is>
          <t>Nhóm phụ trách</t>
        </is>
      </c>
      <c r="H31" s="8" t="inlineStr">
        <is>
          <t>Có</t>
        </is>
      </c>
      <c r="I31" s="11" t="inlineStr">
        <is>
          <t>Không</t>
        </is>
      </c>
      <c r="J31" s="10" t="inlineStr">
        <is>
          <t>G8</t>
        </is>
      </c>
    </row>
    <row r="32">
      <c r="A32" s="6" t="inlineStr">
        <is>
          <t>F3.7</t>
        </is>
      </c>
      <c r="B32" s="6" t="inlineStr">
        <is>
          <t>Duyệt báo cáo mốc (Đạt)</t>
        </is>
      </c>
      <c r="C32" s="6" t="inlineStr">
        <is>
          <t>YCCN-10</t>
        </is>
      </c>
      <c r="D32" s="6" t="inlineStr">
        <is>
          <t>POST /api/v1/bao-cao-moc/{id}/duyet</t>
        </is>
      </c>
      <c r="E32" s="11" t="inlineStr">
        <is>
          <t>Không</t>
        </is>
      </c>
      <c r="F32" s="11" t="inlineStr">
        <is>
          <t>Không</t>
        </is>
      </c>
      <c r="G32" s="12" t="inlineStr">
        <is>
          <t>Nhóm phụ trách</t>
        </is>
      </c>
      <c r="H32" s="11" t="inlineStr">
        <is>
          <t>Không</t>
        </is>
      </c>
      <c r="I32" s="11" t="inlineStr">
        <is>
          <t>Không</t>
        </is>
      </c>
      <c r="J32" s="10" t="inlineStr">
        <is>
          <t>G2</t>
        </is>
      </c>
    </row>
    <row r="33">
      <c r="A33" s="6" t="inlineStr">
        <is>
          <t>F3.8</t>
        </is>
      </c>
      <c r="B33" s="6" t="inlineStr">
        <is>
          <t>Yêu cầu bổ sung báo cáo mốc</t>
        </is>
      </c>
      <c r="C33" s="6" t="inlineStr">
        <is>
          <t>YCCN-10</t>
        </is>
      </c>
      <c r="D33" s="6" t="inlineStr">
        <is>
          <t>POST /api/v1/bao-cao-moc/{id}/yeu-cau-bo-sung</t>
        </is>
      </c>
      <c r="E33" s="11" t="inlineStr">
        <is>
          <t>Không</t>
        </is>
      </c>
      <c r="F33" s="11" t="inlineStr">
        <is>
          <t>Không</t>
        </is>
      </c>
      <c r="G33" s="12" t="inlineStr">
        <is>
          <t>Nhóm phụ trách</t>
        </is>
      </c>
      <c r="H33" s="11" t="inlineStr">
        <is>
          <t>Không</t>
        </is>
      </c>
      <c r="I33" s="11" t="inlineStr">
        <is>
          <t>Không</t>
        </is>
      </c>
      <c r="J33" s="10" t="inlineStr">
        <is>
          <t>G2</t>
        </is>
      </c>
    </row>
    <row r="34">
      <c r="A34" s="6" t="inlineStr">
        <is>
          <t>F3.9</t>
        </is>
      </c>
      <c r="B34" s="6" t="inlineStr">
        <is>
          <t>Quét và đánh dấu quá hạn (điểm cuối nội bộ)</t>
        </is>
      </c>
      <c r="C34" s="6" t="inlineStr">
        <is>
          <t>YCCN-11</t>
        </is>
      </c>
      <c r="D34" s="6" t="inlineStr">
        <is>
          <t>POST /api/v1/internal/moc-thoi-gian/quet-qua-han</t>
        </is>
      </c>
      <c r="E34" s="11" t="inlineStr">
        <is>
          <t>Không</t>
        </is>
      </c>
      <c r="F34" s="11" t="inlineStr">
        <is>
          <t>Không</t>
        </is>
      </c>
      <c r="G34" s="11" t="inlineStr">
        <is>
          <t>Không</t>
        </is>
      </c>
      <c r="H34" s="11" t="inlineStr">
        <is>
          <t>Không</t>
        </is>
      </c>
      <c r="I34" s="11" t="inlineStr">
        <is>
          <t>Không</t>
        </is>
      </c>
      <c r="J34" s="10" t="inlineStr">
        <is>
          <t>G5</t>
        </is>
      </c>
    </row>
    <row r="35">
      <c r="A35" s="6" t="inlineStr">
        <is>
          <t>F3.10</t>
        </is>
      </c>
      <c r="B35" s="6" t="inlineStr">
        <is>
          <t>Xem lịch sử trạng thái đề tài / mốc</t>
        </is>
      </c>
      <c r="C35" s="6" t="inlineStr">
        <is>
          <t>YCCN-12</t>
        </is>
      </c>
      <c r="D35" s="6" t="inlineStr">
        <is>
          <t>GET /api/v1/de-tai/{id}/lich-su · /api/v1/bao-cao-moc/{id}/lich-su</t>
        </is>
      </c>
      <c r="E35" s="11" t="inlineStr">
        <is>
          <t>Không</t>
        </is>
      </c>
      <c r="F35" s="12" t="inlineStr">
        <is>
          <t>Nhóm mình</t>
        </is>
      </c>
      <c r="G35" s="12" t="inlineStr">
        <is>
          <t>Nhóm phụ trách</t>
        </is>
      </c>
      <c r="H35" s="11" t="inlineStr">
        <is>
          <t>Không</t>
        </is>
      </c>
      <c r="I35" s="11" t="inlineStr">
        <is>
          <t>Không</t>
        </is>
      </c>
      <c r="J35" s="10" t="inlineStr">
        <is>
          <t>G7</t>
        </is>
      </c>
    </row>
    <row r="36">
      <c r="A36" s="6" t="inlineStr">
        <is>
          <t>F3.11</t>
        </is>
      </c>
      <c r="B36" s="6" t="inlineStr">
        <is>
          <t>Tải tệp báo cáo mốc về</t>
        </is>
      </c>
      <c r="C36" s="6" t="inlineStr">
        <is>
          <t>—</t>
        </is>
      </c>
      <c r="D36" s="6" t="inlineStr">
        <is>
          <t>GET /api/v1/bao-cao-moc/{id}/tep</t>
        </is>
      </c>
      <c r="E36" s="11" t="inlineStr">
        <is>
          <t>Không</t>
        </is>
      </c>
      <c r="F36" s="12" t="inlineStr">
        <is>
          <t>Nhóm mình</t>
        </is>
      </c>
      <c r="G36" s="12" t="inlineStr">
        <is>
          <t>Nhóm phụ trách</t>
        </is>
      </c>
      <c r="H36" s="8" t="inlineStr">
        <is>
          <t>Có</t>
        </is>
      </c>
      <c r="I36" s="12" t="inlineStr">
        <is>
          <t>Đủ ĐK nghiệm thu</t>
        </is>
      </c>
      <c r="J36" s="10" t="inlineStr">
        <is>
          <t>G10</t>
        </is>
      </c>
    </row>
    <row r="37">
      <c r="A37" s="5" t="inlineStr">
        <is>
          <t>M4. Nghiệm thu &amp; đánh giá cuối kỳ (K3)</t>
        </is>
      </c>
      <c r="B37" s="26" t="n"/>
      <c r="C37" s="26" t="n"/>
      <c r="D37" s="26" t="n"/>
      <c r="E37" s="26" t="n"/>
      <c r="F37" s="26" t="n"/>
      <c r="G37" s="26" t="n"/>
      <c r="H37" s="26" t="n"/>
      <c r="I37" s="26" t="n"/>
      <c r="J37" s="27" t="n"/>
    </row>
    <row r="38">
      <c r="A38" s="6" t="inlineStr">
        <is>
          <t>F4.1</t>
        </is>
      </c>
      <c r="B38" s="6" t="inlineStr">
        <is>
          <t>Danh sách hồ sơ đủ điều kiện nghiệm thu</t>
        </is>
      </c>
      <c r="C38" s="6" t="inlineStr">
        <is>
          <t>YCCN-19</t>
        </is>
      </c>
      <c r="D38" s="6" t="inlineStr">
        <is>
          <t>GET /api/v1/nghiem-thu/ho-so?trang_thai=&amp;page=&amp;size=</t>
        </is>
      </c>
      <c r="E38" s="11" t="inlineStr">
        <is>
          <t>Không</t>
        </is>
      </c>
      <c r="F38" s="11" t="inlineStr">
        <is>
          <t>Không</t>
        </is>
      </c>
      <c r="G38" s="11" t="inlineStr">
        <is>
          <t>Không</t>
        </is>
      </c>
      <c r="H38" s="11" t="inlineStr">
        <is>
          <t>Không</t>
        </is>
      </c>
      <c r="I38" s="8" t="inlineStr">
        <is>
          <t>Có</t>
        </is>
      </c>
      <c r="J38" s="10" t="inlineStr">
        <is>
          <t>G4</t>
        </is>
      </c>
    </row>
    <row r="39">
      <c r="A39" s="6" t="inlineStr">
        <is>
          <t>F4.2</t>
        </is>
      </c>
      <c r="B39" s="6" t="inlineStr">
        <is>
          <t>Xem chi tiết hồ sơ nghiệm thu</t>
        </is>
      </c>
      <c r="C39" s="6" t="inlineStr">
        <is>
          <t>YCCN-19</t>
        </is>
      </c>
      <c r="D39" s="6" t="inlineStr">
        <is>
          <t>GET /api/v1/de-tai/{id}/ho-so-nghiem-thu</t>
        </is>
      </c>
      <c r="E39" s="11" t="inlineStr">
        <is>
          <t>Không</t>
        </is>
      </c>
      <c r="F39" s="11" t="inlineStr">
        <is>
          <t>Không</t>
        </is>
      </c>
      <c r="G39" s="11" t="inlineStr">
        <is>
          <t>Không</t>
        </is>
      </c>
      <c r="H39" s="11" t="inlineStr">
        <is>
          <t>Không</t>
        </is>
      </c>
      <c r="I39" s="12" t="inlineStr">
        <is>
          <t>Đủ ĐK nghiệm thu</t>
        </is>
      </c>
      <c r="J39" s="10" t="inlineStr">
        <is>
          <t>G4</t>
        </is>
      </c>
    </row>
    <row r="40">
      <c r="A40" s="6" t="inlineStr">
        <is>
          <t>F4.3</t>
        </is>
      </c>
      <c r="B40" s="6" t="inlineStr">
        <is>
          <t>Chấm điểm nghiệm thu</t>
        </is>
      </c>
      <c r="C40" s="6" t="inlineStr">
        <is>
          <t>YCCN-19</t>
        </is>
      </c>
      <c r="D40" s="6" t="inlineStr">
        <is>
          <t>POST /api/v1/de-tai/{id}/diem-nghiem-thu</t>
        </is>
      </c>
      <c r="E40" s="11" t="inlineStr">
        <is>
          <t>Không</t>
        </is>
      </c>
      <c r="F40" s="11" t="inlineStr">
        <is>
          <t>Không</t>
        </is>
      </c>
      <c r="G40" s="11" t="inlineStr">
        <is>
          <t>Không</t>
        </is>
      </c>
      <c r="H40" s="11" t="inlineStr">
        <is>
          <t>Không</t>
        </is>
      </c>
      <c r="I40" s="12" t="inlineStr">
        <is>
          <t>Đủ ĐK nghiệm thu</t>
        </is>
      </c>
      <c r="J40" s="10" t="inlineStr">
        <is>
          <t>G4</t>
        </is>
      </c>
    </row>
    <row r="41">
      <c r="A41" s="6" t="inlineStr">
        <is>
          <t>F4.4</t>
        </is>
      </c>
      <c r="B41" s="6" t="inlineStr">
        <is>
          <t>Xem điểm nghiệm thu đã chấm</t>
        </is>
      </c>
      <c r="C41" s="6" t="inlineStr">
        <is>
          <t>—</t>
        </is>
      </c>
      <c r="D41" s="6" t="inlineStr">
        <is>
          <t>GET /api/v1/de-tai/{id}/diem-nghiem-thu</t>
        </is>
      </c>
      <c r="E41" s="11" t="inlineStr">
        <is>
          <t>Không</t>
        </is>
      </c>
      <c r="F41" s="12" t="inlineStr">
        <is>
          <t>Nhóm mình (sau khi chốt)</t>
        </is>
      </c>
      <c r="G41" s="12" t="inlineStr">
        <is>
          <t>Nhóm phụ trách (sau khi chốt)</t>
        </is>
      </c>
      <c r="H41" s="8" t="inlineStr">
        <is>
          <t>Có</t>
        </is>
      </c>
      <c r="I41" s="8" t="inlineStr">
        <is>
          <t>Có</t>
        </is>
      </c>
      <c r="J41" s="10" t="inlineStr">
        <is>
          <t>G10</t>
        </is>
      </c>
    </row>
    <row r="42">
      <c r="A42" s="6" t="inlineStr">
        <is>
          <t>F4.5</t>
        </is>
      </c>
      <c r="B42" s="6" t="inlineStr">
        <is>
          <t>Chốt kết quả nghiệm thu (completed → accepted)</t>
        </is>
      </c>
      <c r="C42" s="6" t="inlineStr">
        <is>
          <t>—</t>
        </is>
      </c>
      <c r="D42" s="6" t="inlineStr">
        <is>
          <t>POST /api/v1/de-tai/{id}/chot-nghiem-thu</t>
        </is>
      </c>
      <c r="E42" s="11" t="inlineStr">
        <is>
          <t>Không</t>
        </is>
      </c>
      <c r="F42" s="11" t="inlineStr">
        <is>
          <t>Không</t>
        </is>
      </c>
      <c r="G42" s="11" t="inlineStr">
        <is>
          <t>Không</t>
        </is>
      </c>
      <c r="H42" s="8" t="inlineStr">
        <is>
          <t>Có</t>
        </is>
      </c>
      <c r="I42" s="11" t="inlineStr">
        <is>
          <t>Không</t>
        </is>
      </c>
      <c r="J42" s="10" t="inlineStr">
        <is>
          <t>G1</t>
        </is>
      </c>
    </row>
    <row r="43">
      <c r="A43" s="5" t="inlineStr">
        <is>
          <t>M5. Thống kê, báo cáo &amp; nhật ký (K7, K8)</t>
        </is>
      </c>
      <c r="B43" s="26" t="n"/>
      <c r="C43" s="26" t="n"/>
      <c r="D43" s="26" t="n"/>
      <c r="E43" s="26" t="n"/>
      <c r="F43" s="26" t="n"/>
      <c r="G43" s="26" t="n"/>
      <c r="H43" s="26" t="n"/>
      <c r="I43" s="26" t="n"/>
      <c r="J43" s="27" t="n"/>
    </row>
    <row r="44">
      <c r="A44" s="6" t="inlineStr">
        <is>
          <t>F5.1</t>
        </is>
      </c>
      <c r="B44" s="6" t="inlineStr">
        <is>
          <t>Ba báo cáo tổng hợp: đề tài theo lớp, tiến độ nộp theo mốc, theo GVHD</t>
        </is>
      </c>
      <c r="C44" s="6" t="inlineStr">
        <is>
          <t>YCCN-17</t>
        </is>
      </c>
      <c r="D44" s="6" t="inlineStr">
        <is>
          <t>GET /api/v1/thong-ke/{de-tai-theo-lop|tien-do-nop|gvhd}?tu_ngay=&amp;den_ngay=</t>
        </is>
      </c>
      <c r="E44" s="11" t="inlineStr">
        <is>
          <t>Không</t>
        </is>
      </c>
      <c r="F44" s="11" t="inlineStr">
        <is>
          <t>Không</t>
        </is>
      </c>
      <c r="G44" s="12" t="inlineStr">
        <is>
          <t>Trong phạm vi</t>
        </is>
      </c>
      <c r="H44" s="8" t="inlineStr">
        <is>
          <t>Có</t>
        </is>
      </c>
      <c r="I44" s="11" t="inlineStr">
        <is>
          <t>Không</t>
        </is>
      </c>
      <c r="J44" s="10" t="inlineStr">
        <is>
          <t>G6</t>
        </is>
      </c>
    </row>
    <row r="45">
      <c r="A45" s="6" t="inlineStr">
        <is>
          <t>F5.2</t>
        </is>
      </c>
      <c r="B45" s="6" t="inlineStr">
        <is>
          <t>Xuất báo cáo thống kê CSV/Excel</t>
        </is>
      </c>
      <c r="C45" s="6" t="inlineStr">
        <is>
          <t>YCCN-18</t>
        </is>
      </c>
      <c r="D45" s="6" t="inlineStr">
        <is>
          <t>GET /api/v1/thong-ke/{loai}/xuat?dinh_dang=csv&amp;tu_ngay=&amp;den_ngay=</t>
        </is>
      </c>
      <c r="E45" s="11" t="inlineStr">
        <is>
          <t>Không</t>
        </is>
      </c>
      <c r="F45" s="11" t="inlineStr">
        <is>
          <t>Không</t>
        </is>
      </c>
      <c r="G45" s="11" t="inlineStr">
        <is>
          <t>Không</t>
        </is>
      </c>
      <c r="H45" s="8" t="inlineStr">
        <is>
          <t>Có</t>
        </is>
      </c>
      <c r="I45" s="11" t="inlineStr">
        <is>
          <t>Không</t>
        </is>
      </c>
      <c r="J45" s="10" t="inlineStr">
        <is>
          <t>G1</t>
        </is>
      </c>
    </row>
    <row r="46">
      <c r="A46" s="6" t="inlineStr">
        <is>
          <t>F5.3</t>
        </is>
      </c>
      <c r="B46" s="6" t="inlineStr">
        <is>
          <t>Tra cứu nhật ký hệ thống</t>
        </is>
      </c>
      <c r="C46" s="6" t="inlineStr">
        <is>
          <t>YCCN-20</t>
        </is>
      </c>
      <c r="D46" s="6" t="inlineStr">
        <is>
          <t>GET /api/v1/nhat-ky-he-thong?nguoi_dung_id=&amp;hanh_dong=</t>
        </is>
      </c>
      <c r="E46" s="11" t="inlineStr">
        <is>
          <t>Không</t>
        </is>
      </c>
      <c r="F46" s="11" t="inlineStr">
        <is>
          <t>Không</t>
        </is>
      </c>
      <c r="G46" s="11" t="inlineStr">
        <is>
          <t>Không</t>
        </is>
      </c>
      <c r="H46" s="8" t="inlineStr">
        <is>
          <t>Có</t>
        </is>
      </c>
      <c r="I46" s="11" t="inlineStr">
        <is>
          <t>Không</t>
        </is>
      </c>
      <c r="J46" s="10" t="inlineStr">
        <is>
          <t>G1</t>
        </is>
      </c>
    </row>
    <row r="47">
      <c r="A47" s="5" t="inlineStr">
        <is>
          <t>M6. Thông báo &amp; nhắc hạn (K9)</t>
        </is>
      </c>
      <c r="B47" s="26" t="n"/>
      <c r="C47" s="26" t="n"/>
      <c r="D47" s="26" t="n"/>
      <c r="E47" s="26" t="n"/>
      <c r="F47" s="26" t="n"/>
      <c r="G47" s="26" t="n"/>
      <c r="H47" s="26" t="n"/>
      <c r="I47" s="26" t="n"/>
      <c r="J47" s="27" t="n"/>
    </row>
    <row r="48">
      <c r="A48" s="6" t="inlineStr">
        <is>
          <t>F6.1</t>
        </is>
      </c>
      <c r="B48" s="6" t="inlineStr">
        <is>
          <t>Danh sách thông báo của tôi</t>
        </is>
      </c>
      <c r="C48" s="6" t="inlineStr">
        <is>
          <t>YCCN-15</t>
        </is>
      </c>
      <c r="D48" s="6" t="inlineStr">
        <is>
          <t>GET /api/v1/thong-bao?page=&amp;size=</t>
        </is>
      </c>
      <c r="E48" s="11" t="inlineStr">
        <is>
          <t>Không</t>
        </is>
      </c>
      <c r="F48" s="12" t="inlineStr">
        <is>
          <t>Của mình</t>
        </is>
      </c>
      <c r="G48" s="12" t="inlineStr">
        <is>
          <t>Của mình</t>
        </is>
      </c>
      <c r="H48" s="12" t="inlineStr">
        <is>
          <t>Của mình</t>
        </is>
      </c>
      <c r="I48" s="12" t="inlineStr">
        <is>
          <t>Của mình</t>
        </is>
      </c>
      <c r="J48" s="10" t="inlineStr">
        <is>
          <t>G10</t>
        </is>
      </c>
    </row>
    <row r="49">
      <c r="A49" s="6" t="inlineStr">
        <is>
          <t>F6.2</t>
        </is>
      </c>
      <c r="B49" s="6" t="inlineStr">
        <is>
          <t>Đánh dấu thông báo đã đọc</t>
        </is>
      </c>
      <c r="C49" s="6" t="inlineStr">
        <is>
          <t>YCCN-15</t>
        </is>
      </c>
      <c r="D49" s="6" t="inlineStr">
        <is>
          <t>PATCH /api/v1/thong-bao/{id}/da-doc</t>
        </is>
      </c>
      <c r="E49" s="11" t="inlineStr">
        <is>
          <t>Không</t>
        </is>
      </c>
      <c r="F49" s="12" t="inlineStr">
        <is>
          <t>Của mình</t>
        </is>
      </c>
      <c r="G49" s="12" t="inlineStr">
        <is>
          <t>Của mình</t>
        </is>
      </c>
      <c r="H49" s="12" t="inlineStr">
        <is>
          <t>Của mình</t>
        </is>
      </c>
      <c r="I49" s="12" t="inlineStr">
        <is>
          <t>Của mình</t>
        </is>
      </c>
      <c r="J49" s="10" t="inlineStr">
        <is>
          <t>G10</t>
        </is>
      </c>
    </row>
    <row r="50">
      <c r="A50" s="6" t="inlineStr">
        <is>
          <t>F6.3</t>
        </is>
      </c>
      <c r="B50" s="6" t="inlineStr">
        <is>
          <t>Tác vụ nhắc hạn (điểm cuối nội bộ)</t>
        </is>
      </c>
      <c r="C50" s="6" t="inlineStr">
        <is>
          <t>YCCN-15</t>
        </is>
      </c>
      <c r="D50" s="6" t="inlineStr">
        <is>
          <t>POST /api/v1/internal/thong-bao/nhac-han</t>
        </is>
      </c>
      <c r="E50" s="11" t="inlineStr">
        <is>
          <t>Không</t>
        </is>
      </c>
      <c r="F50" s="11" t="inlineStr">
        <is>
          <t>Không</t>
        </is>
      </c>
      <c r="G50" s="11" t="inlineStr">
        <is>
          <t>Không</t>
        </is>
      </c>
      <c r="H50" s="11" t="inlineStr">
        <is>
          <t>Không</t>
        </is>
      </c>
      <c r="I50" s="11" t="inlineStr">
        <is>
          <t>Không</t>
        </is>
      </c>
      <c r="J50" s="10" t="inlineStr">
        <is>
          <t>G5</t>
        </is>
      </c>
    </row>
    <row r="51">
      <c r="A51" s="5" t="inlineStr">
        <is>
          <t>Điểm cuối dùng chung</t>
        </is>
      </c>
      <c r="B51" s="26" t="n"/>
      <c r="C51" s="26" t="n"/>
      <c r="D51" s="26" t="n"/>
      <c r="E51" s="26" t="n"/>
      <c r="F51" s="26" t="n"/>
      <c r="G51" s="26" t="n"/>
      <c r="H51" s="26" t="n"/>
      <c r="I51" s="26" t="n"/>
      <c r="J51" s="27" t="n"/>
    </row>
    <row r="52">
      <c r="A52" s="6" t="inlineStr">
        <is>
          <t>F7.1</t>
        </is>
      </c>
      <c r="B52" s="6" t="inlineStr">
        <is>
          <t>Kiểm tra sức khỏe hệ thống</t>
        </is>
      </c>
      <c r="C52" s="6" t="inlineStr">
        <is>
          <t>—</t>
        </is>
      </c>
      <c r="D52" s="6" t="inlineStr">
        <is>
          <t>GET /api/v1/health</t>
        </is>
      </c>
      <c r="E52" s="8" t="inlineStr">
        <is>
          <t>Có</t>
        </is>
      </c>
      <c r="F52" s="8" t="inlineStr">
        <is>
          <t>Có</t>
        </is>
      </c>
      <c r="G52" s="8" t="inlineStr">
        <is>
          <t>Có</t>
        </is>
      </c>
      <c r="H52" s="8" t="inlineStr">
        <is>
          <t>Có</t>
        </is>
      </c>
      <c r="I52" s="8" t="inlineStr">
        <is>
          <t>Có</t>
        </is>
      </c>
      <c r="J52" s="10" t="inlineStr">
        <is>
          <t>—</t>
        </is>
      </c>
    </row>
    <row r="54">
      <c r="D54" s="13" t="inlineStr">
        <is>
          <t>Số ô "Không" (= số ca kiểm thử)</t>
        </is>
      </c>
      <c r="E54" s="14">
        <f>COUNTIF(E6:E52,"Không")</f>
        <v/>
      </c>
      <c r="F54" s="14">
        <f>COUNTIF(F6:F52,"Không")</f>
        <v/>
      </c>
      <c r="G54" s="14">
        <f>COUNTIF(G6:G52,"Không")</f>
        <v/>
      </c>
      <c r="H54" s="14">
        <f>COUNTIF(H6:H52,"Không")</f>
        <v/>
      </c>
      <c r="I54" s="14">
        <f>COUNTIF(I6:I52,"Không")</f>
        <v/>
      </c>
      <c r="K54" s="15">
        <f>SUM(E54:I54)</f>
        <v/>
      </c>
    </row>
    <row r="55">
      <c r="D55" s="13" t="inlineStr">
        <is>
          <t>Số ô theo phạm vi (kiểm quyền trên đối tượng)</t>
        </is>
      </c>
      <c r="E55" s="16">
        <f>COUNTA(E6:E52)-COUNTIF(E6:E52,"Không")-COUNTIF(E6:E52,"Có")-COUNTIF(E6:E52,"—")</f>
        <v/>
      </c>
      <c r="F55" s="16">
        <f>COUNTA(F6:F52)-COUNTIF(F6:F52,"Không")-COUNTIF(F6:F52,"Có")-COUNTIF(F6:F52,"—")</f>
        <v/>
      </c>
      <c r="G55" s="16">
        <f>COUNTA(G6:G52)-COUNTIF(G6:G52,"Không")-COUNTIF(G6:G52,"Có")-COUNTIF(G6:G52,"—")</f>
        <v/>
      </c>
      <c r="H55" s="16">
        <f>COUNTA(H6:H52)-COUNTIF(H6:H52,"Không")-COUNTIF(H6:H52,"Có")-COUNTIF(H6:H52,"—")</f>
        <v/>
      </c>
      <c r="I55" s="16">
        <f>COUNTA(I6:I52)-COUNTIF(I6:I52,"Không")-COUNTIF(I6:I52,"Có")-COUNTIF(I6:I52,"—")</f>
        <v/>
      </c>
      <c r="K55" s="17">
        <f>SUM(E55:I55)</f>
        <v/>
      </c>
    </row>
  </sheetData>
  <mergeCells count="7">
    <mergeCell ref="A47:J47"/>
    <mergeCell ref="A37:J37"/>
    <mergeCell ref="A6:J6"/>
    <mergeCell ref="A43:J43"/>
    <mergeCell ref="A25:J25"/>
    <mergeCell ref="A13:J13"/>
    <mergeCell ref="A51:J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4" customWidth="1" min="3" max="3"/>
    <col width="10" customWidth="1" min="4" max="4"/>
    <col width="58" customWidth="1" min="5" max="5"/>
    <col width="40" customWidth="1" min="6" max="6"/>
    <col width="16" customWidth="1" min="7" max="7"/>
    <col width="8" customWidth="1" min="8" max="8"/>
  </cols>
  <sheetData>
    <row r="1">
      <c r="A1" s="1" t="inlineStr">
        <is>
          <t>DANH MỤC CA KIỂM THỬ PHÂN QUYỀN – gom theo nhóm quyền (rủi ro BM5)</t>
        </is>
      </c>
    </row>
    <row r="2">
      <c r="A2" s="2" t="n"/>
    </row>
    <row r="4">
      <c r="A4" s="4" t="inlineStr">
        <is>
          <t>Mã ca</t>
        </is>
      </c>
      <c r="B4" s="4" t="inlineStr">
        <is>
          <t>Nhóm</t>
        </is>
      </c>
      <c r="C4" s="4" t="inlineStr">
        <is>
          <t>Vai trò gọi</t>
        </is>
      </c>
      <c r="D4" s="4" t="inlineStr">
        <is>
          <t>Số điểm cuối</t>
        </is>
      </c>
      <c r="E4" s="4" t="inlineStr">
        <is>
          <t>Điểm cuối phải thử</t>
        </is>
      </c>
      <c r="F4" s="4" t="inlineStr">
        <is>
          <t>Kết quả mong đợi</t>
        </is>
      </c>
      <c r="G4" s="4" t="inlineStr">
        <is>
          <t>Kết quả thực tế</t>
        </is>
      </c>
      <c r="H4" s="4" t="inlineStr">
        <is>
          <t>KL</t>
        </is>
      </c>
    </row>
    <row r="5">
      <c r="A5" s="18" t="inlineStr">
        <is>
          <t>TC-PQ-01</t>
        </is>
      </c>
      <c r="B5" s="18" t="inlineStr">
        <is>
          <t>G1. Chỉ Thư ký khoa</t>
        </is>
      </c>
      <c r="C5" s="18" t="inlineStr">
        <is>
          <t>Khách chưa đăng nhập</t>
        </is>
      </c>
      <c r="D5" s="18" t="n">
        <v>14</v>
      </c>
      <c r="E5" s="18" t="inlineStr">
        <is>
          <t>F1.6 · GET /api/v1/nguoi-dung · POST /api/v1/nguoi-dung · GET /api/v1/nguoi-dung/{id} · PATCH /api/v1/nguoi-dung/{id}/trang-thai
F2.8 · PATCH /api/v1/nhom-sinh-vien/{id}/gvhd
F3.1 · POST, PATCH, DELETE /api/v1/lop-hoc-phan · POST /api/v1/moc-thoi-gian · DELETE /api/v1/moc-thoi-gian/{id}
F3.3 · PATCH /api/v1/moc-thoi-gian/{id}
F5.2 · GET /api/v1/thong-ke/tien-do-nop/xuat?dinh_dang=csv
F5.3 · GET /api/v1/nhat-ky-he-thong
F4.5 · POST /api/v1/de-tai/{id}/chot-nghiem-thu</t>
        </is>
      </c>
      <c r="F5" s="18" t="inlineStr">
        <is>
          <t>401 (API) hoặc chuyển về trang đăng nhập ở mọi điểm cuối; không trả dữ liệu</t>
        </is>
      </c>
      <c r="G5" s="18" t="inlineStr">
        <is>
          <t>Máy cục bộ, 09/10/2026: 14×401, không trả dữ liệu
Web, 10/10/2026: 14×401, không trả dữ liệu</t>
        </is>
      </c>
      <c r="H5" s="18" t="inlineStr">
        <is>
          <t>Đạt</t>
        </is>
      </c>
    </row>
    <row r="6">
      <c r="A6" s="18" t="inlineStr">
        <is>
          <t>TC-PQ-02</t>
        </is>
      </c>
      <c r="B6" s="18" t="inlineStr">
        <is>
          <t>G1. Chỉ Thư ký khoa</t>
        </is>
      </c>
      <c r="C6" s="18" t="inlineStr">
        <is>
          <t>Sinh viên</t>
        </is>
      </c>
      <c r="D6" s="18" t="n">
        <v>14</v>
      </c>
      <c r="E6" s="18" t="inlineStr">
        <is>
          <t>F1.6 · GET /api/v1/nguoi-dung · POST /api/v1/nguoi-dung · GET /api/v1/nguoi-dung/{id} · PATCH /api/v1/nguoi-dung/{id}/trang-thai
F2.8 · PATCH /api/v1/nhom-sinh-vien/{id}/gvhd
F3.1 · POST, PATCH, DELETE /api/v1/lop-hoc-phan · POST /api/v1/moc-thoi-gian · DELETE /api/v1/moc-thoi-gian/{id}
F3.3 · PATCH /api/v1/moc-thoi-gian/{id}
F5.2 · GET /api/v1/thong-ke/tien-do-nop/xuat?dinh_dang=csv
F5.3 · GET /api/v1/nhat-ky-he-thong
F4.5 · POST /api/v1/de-tai/{id}/chot-nghiem-thu</t>
        </is>
      </c>
      <c r="F6" s="18" t="inlineStr">
        <is>
          <t>403 ở mọi điểm cuối; không trả dữ liệu, không thay đổi dữ liệu</t>
        </is>
      </c>
      <c r="G6" s="18" t="inlineStr">
        <is>
          <t>Máy cục bộ, 09/10/2026: 14×403, không trả dữ liệu
Web, 10/10/2026: 14×403, không trả dữ liệu</t>
        </is>
      </c>
      <c r="H6" s="18" t="inlineStr">
        <is>
          <t>Đạt</t>
        </is>
      </c>
    </row>
    <row r="7">
      <c r="A7" s="18" t="inlineStr">
        <is>
          <t>TC-PQ-03</t>
        </is>
      </c>
      <c r="B7" s="18" t="inlineStr">
        <is>
          <t>G1. Chỉ Thư ký khoa</t>
        </is>
      </c>
      <c r="C7" s="18" t="inlineStr">
        <is>
          <t>Giảng viên hướng dẫn</t>
        </is>
      </c>
      <c r="D7" s="18" t="n">
        <v>14</v>
      </c>
      <c r="E7" s="18" t="inlineStr">
        <is>
          <t>F1.6 · GET /api/v1/nguoi-dung · POST /api/v1/nguoi-dung · GET /api/v1/nguoi-dung/{id} · PATCH /api/v1/nguoi-dung/{id}/trang-thai
F2.8 · PATCH /api/v1/nhom-sinh-vien/{id}/gvhd
F3.1 · POST, PATCH, DELETE /api/v1/lop-hoc-phan · POST /api/v1/moc-thoi-gian · DELETE /api/v1/moc-thoi-gian/{id}
F3.3 · PATCH /api/v1/moc-thoi-gian/{id}
F5.2 · GET /api/v1/thong-ke/tien-do-nop/xuat?dinh_dang=csv
F5.3 · GET /api/v1/nhat-ky-he-thong
F4.5 · POST /api/v1/de-tai/{id}/chot-nghiem-thu</t>
        </is>
      </c>
      <c r="F7" s="18" t="inlineStr">
        <is>
          <t>403 ở mọi điểm cuối; không trả dữ liệu, không thay đổi dữ liệu</t>
        </is>
      </c>
      <c r="G7" s="18" t="inlineStr">
        <is>
          <t>Máy cục bộ, 09/10/2026: 14×403, không trả dữ liệu
Web, 10/10/2026: 14×403, không trả dữ liệu</t>
        </is>
      </c>
      <c r="H7" s="18" t="inlineStr">
        <is>
          <t>Đạt</t>
        </is>
      </c>
    </row>
    <row r="8">
      <c r="A8" s="18" t="inlineStr">
        <is>
          <t>TC-PQ-04</t>
        </is>
      </c>
      <c r="B8" s="18" t="inlineStr">
        <is>
          <t>G1. Chỉ Thư ký khoa</t>
        </is>
      </c>
      <c r="C8" s="18" t="inlineStr">
        <is>
          <t>Hội đồng nghiệm thu</t>
        </is>
      </c>
      <c r="D8" s="18" t="n">
        <v>14</v>
      </c>
      <c r="E8" s="18" t="inlineStr">
        <is>
          <t>F1.6 · GET /api/v1/nguoi-dung · POST /api/v1/nguoi-dung · GET /api/v1/nguoi-dung/{id} · PATCH /api/v1/nguoi-dung/{id}/trang-thai
F2.8 · PATCH /api/v1/nhom-sinh-vien/{id}/gvhd
F3.1 · POST, PATCH, DELETE /api/v1/lop-hoc-phan · POST /api/v1/moc-thoi-gian · DELETE /api/v1/moc-thoi-gian/{id}
F3.3 · PATCH /api/v1/moc-thoi-gian/{id}
F5.2 · GET /api/v1/thong-ke/tien-do-nop/xuat?dinh_dang=csv
F5.3 · GET /api/v1/nhat-ky-he-thong
F4.5 · POST /api/v1/de-tai/{id}/chot-nghiem-thu</t>
        </is>
      </c>
      <c r="F8" s="18" t="inlineStr">
        <is>
          <t>403 ở mọi điểm cuối; không trả dữ liệu, không thay đổi dữ liệu</t>
        </is>
      </c>
      <c r="G8" s="18" t="inlineStr">
        <is>
          <t>Máy cục bộ, 09/10/2026: 14×403, không trả dữ liệu
Web, 10/10/2026: 14×403, không trả dữ liệu</t>
        </is>
      </c>
      <c r="H8" s="18" t="inlineStr">
        <is>
          <t>Đạt</t>
        </is>
      </c>
    </row>
    <row r="9">
      <c r="A9" s="18" t="inlineStr">
        <is>
          <t>TC-PQ-05</t>
        </is>
      </c>
      <c r="B9" s="18" t="inlineStr">
        <is>
          <t>G2. Chỉ GVHD phụ trách</t>
        </is>
      </c>
      <c r="C9" s="18" t="inlineStr">
        <is>
          <t>Khách chưa đăng nhập</t>
        </is>
      </c>
      <c r="D9" s="18" t="n">
        <v>4</v>
      </c>
      <c r="E9" s="18" t="inlineStr">
        <is>
          <t>F2.6 · POST /api/v1/de-tai/{id}/duyet
F2.7 · POST /api/v1/de-tai/{id}/tu-choi
F3.7 · POST /api/v1/bao-cao-moc/{id}/duyet
F3.8 · POST /api/v1/bao-cao-moc/{id}/yeu-cau-bo-sung</t>
        </is>
      </c>
      <c r="F9" s="18" t="inlineStr">
        <is>
          <t>401 (API) hoặc chuyển về trang đăng nhập ở mọi điểm cuối; không trả dữ liệu</t>
        </is>
      </c>
      <c r="G9" s="18" t="inlineStr">
        <is>
          <t>Máy cục bộ, 09/10/2026: 4×401, không trả dữ liệu
Web, 10/10/2026: 4×401, không trả dữ liệu</t>
        </is>
      </c>
      <c r="H9" s="18" t="inlineStr">
        <is>
          <t>Đạt</t>
        </is>
      </c>
    </row>
    <row r="10">
      <c r="A10" s="18" t="inlineStr">
        <is>
          <t>TC-PQ-06</t>
        </is>
      </c>
      <c r="B10" s="18" t="inlineStr">
        <is>
          <t>G2. Chỉ GVHD phụ trách</t>
        </is>
      </c>
      <c r="C10" s="18" t="inlineStr">
        <is>
          <t>Sinh viên</t>
        </is>
      </c>
      <c r="D10" s="18" t="n">
        <v>4</v>
      </c>
      <c r="E10" s="18" t="inlineStr">
        <is>
          <t>F2.6 · POST /api/v1/de-tai/{id}/duyet
F2.7 · POST /api/v1/de-tai/{id}/tu-choi
F3.7 · POST /api/v1/bao-cao-moc/{id}/duyet
F3.8 · POST /api/v1/bao-cao-moc/{id}/yeu-cau-bo-sung</t>
        </is>
      </c>
      <c r="F10" s="18" t="inlineStr">
        <is>
          <t>403 ở mọi điểm cuối; không trả dữ liệu, không thay đổi dữ liệu</t>
        </is>
      </c>
      <c r="G10" s="18" t="inlineStr">
        <is>
          <t>Máy cục bộ, 09/10/2026: 4×403, không trả dữ liệu
Web, 10/10/2026: 4×403, không trả dữ liệu</t>
        </is>
      </c>
      <c r="H10" s="18" t="inlineStr">
        <is>
          <t>Đạt</t>
        </is>
      </c>
    </row>
    <row r="11">
      <c r="A11" s="18" t="inlineStr">
        <is>
          <t>TC-PQ-07</t>
        </is>
      </c>
      <c r="B11" s="18" t="inlineStr">
        <is>
          <t>G2. Chỉ GVHD phụ trách</t>
        </is>
      </c>
      <c r="C11" s="18" t="inlineStr">
        <is>
          <t>Thư ký khoa / Quản trị viên</t>
        </is>
      </c>
      <c r="D11" s="18" t="n">
        <v>4</v>
      </c>
      <c r="E11" s="18" t="inlineStr">
        <is>
          <t>F2.6 · POST /api/v1/de-tai/{id}/duyet
F2.7 · POST /api/v1/de-tai/{id}/tu-choi
F3.7 · POST /api/v1/bao-cao-moc/{id}/duyet
F3.8 · POST /api/v1/bao-cao-moc/{id}/yeu-cau-bo-sung</t>
        </is>
      </c>
      <c r="F11" s="18" t="inlineStr">
        <is>
          <t>403 ở mọi điểm cuối; không trả dữ liệu, không thay đổi dữ liệu</t>
        </is>
      </c>
      <c r="G11" s="18" t="inlineStr">
        <is>
          <t>Máy cục bộ, 09/10/2026: 4×403, không trả dữ liệu
Web, 10/10/2026: 4×403, không trả dữ liệu</t>
        </is>
      </c>
      <c r="H11" s="18" t="inlineStr">
        <is>
          <t>Đạt</t>
        </is>
      </c>
    </row>
    <row r="12">
      <c r="A12" s="18" t="inlineStr">
        <is>
          <t>TC-PQ-08</t>
        </is>
      </c>
      <c r="B12" s="18" t="inlineStr">
        <is>
          <t>G2. Chỉ GVHD phụ trách</t>
        </is>
      </c>
      <c r="C12" s="18" t="inlineStr">
        <is>
          <t>Hội đồng nghiệm thu</t>
        </is>
      </c>
      <c r="D12" s="18" t="n">
        <v>4</v>
      </c>
      <c r="E12" s="18" t="inlineStr">
        <is>
          <t>F2.6 · POST /api/v1/de-tai/{id}/duyet
F2.7 · POST /api/v1/de-tai/{id}/tu-choi
F3.7 · POST /api/v1/bao-cao-moc/{id}/duyet
F3.8 · POST /api/v1/bao-cao-moc/{id}/yeu-cau-bo-sung</t>
        </is>
      </c>
      <c r="F12" s="18" t="inlineStr">
        <is>
          <t>403 ở mọi điểm cuối; không trả dữ liệu, không thay đổi dữ liệu</t>
        </is>
      </c>
      <c r="G12" s="18" t="inlineStr">
        <is>
          <t>Máy cục bộ, 09/10/2026: 4×403, không trả dữ liệu
Web, 10/10/2026: 4×403, không trả dữ liệu</t>
        </is>
      </c>
      <c r="H12" s="18" t="inlineStr">
        <is>
          <t>Đạt</t>
        </is>
      </c>
    </row>
    <row r="13">
      <c r="A13" s="18" t="inlineStr">
        <is>
          <t>TC-PQ-09</t>
        </is>
      </c>
      <c r="B13" s="18" t="inlineStr">
        <is>
          <t>G3. Chỉ Sinh viên chủ đề tài</t>
        </is>
      </c>
      <c r="C13" s="18" t="inlineStr">
        <is>
          <t>Khách chưa đăng nhập</t>
        </is>
      </c>
      <c r="D13" s="18" t="n">
        <v>5</v>
      </c>
      <c r="E13" s="18" t="inlineStr">
        <is>
          <t>F2.2 · POST /api/v1/de-tai
F2.4 · PATCH /api/v1/de-tai/{id}
F2.5 · DELETE /api/v1/de-tai/{id}
F3.4 · POST /api/v1/de-tai/{deTaiId}/bao-cao-moc
F3.5 · POST /api/v1/bao-cao-moc/{id} (nộp lại)</t>
        </is>
      </c>
      <c r="F13" s="18" t="inlineStr">
        <is>
          <t>401 (API) hoặc chuyển về trang đăng nhập ở mọi điểm cuối; không trả dữ liệu</t>
        </is>
      </c>
      <c r="G13" s="18" t="inlineStr">
        <is>
          <t>Máy cục bộ, 09/10/2026: 5×401, không trả dữ liệu
Web, 10/10/2026: 5×401, không trả dữ liệu</t>
        </is>
      </c>
      <c r="H13" s="18" t="inlineStr">
        <is>
          <t>Đạt</t>
        </is>
      </c>
    </row>
    <row r="14">
      <c r="A14" s="18" t="inlineStr">
        <is>
          <t>TC-PQ-10</t>
        </is>
      </c>
      <c r="B14" s="18" t="inlineStr">
        <is>
          <t>G3. Chỉ Sinh viên chủ đề tài</t>
        </is>
      </c>
      <c r="C14" s="18" t="inlineStr">
        <is>
          <t>Giảng viên hướng dẫn</t>
        </is>
      </c>
      <c r="D14" s="18" t="n">
        <v>5</v>
      </c>
      <c r="E14" s="18" t="inlineStr">
        <is>
          <t>F2.2 · POST /api/v1/de-tai
F2.4 · PATCH /api/v1/de-tai/{id}
F2.5 · DELETE /api/v1/de-tai/{id}
F3.4 · POST /api/v1/de-tai/{deTaiId}/bao-cao-moc
F3.5 · POST /api/v1/bao-cao-moc/{id} (nộp lại)</t>
        </is>
      </c>
      <c r="F14" s="18" t="inlineStr">
        <is>
          <t>403 ở mọi điểm cuối; không trả dữ liệu, không thay đổi dữ liệu</t>
        </is>
      </c>
      <c r="G14" s="18" t="inlineStr">
        <is>
          <t>Máy cục bộ, 09/10/2026: 5×403, không trả dữ liệu
Web, 10/10/2026: 5×403, không trả dữ liệu</t>
        </is>
      </c>
      <c r="H14" s="18" t="inlineStr">
        <is>
          <t>Đạt</t>
        </is>
      </c>
    </row>
    <row r="15">
      <c r="A15" s="18" t="inlineStr">
        <is>
          <t>TC-PQ-11</t>
        </is>
      </c>
      <c r="B15" s="18" t="inlineStr">
        <is>
          <t>G3. Chỉ Sinh viên chủ đề tài</t>
        </is>
      </c>
      <c r="C15" s="18" t="inlineStr">
        <is>
          <t>Thư ký khoa / Quản trị viên</t>
        </is>
      </c>
      <c r="D15" s="18" t="n">
        <v>5</v>
      </c>
      <c r="E15" s="18" t="inlineStr">
        <is>
          <t>F2.2 · POST /api/v1/de-tai
F2.4 · PATCH /api/v1/de-tai/{id}
F2.5 · DELETE /api/v1/de-tai/{id}
F3.4 · POST /api/v1/de-tai/{deTaiId}/bao-cao-moc
F3.5 · POST /api/v1/bao-cao-moc/{id} (nộp lại)</t>
        </is>
      </c>
      <c r="F15" s="18" t="inlineStr">
        <is>
          <t>403 ở mọi điểm cuối; không trả dữ liệu, không thay đổi dữ liệu</t>
        </is>
      </c>
      <c r="G15" s="18" t="inlineStr">
        <is>
          <t>Máy cục bộ, 09/10/2026: 5×403, không trả dữ liệu
Web, 10/10/2026: 5×403, không trả dữ liệu</t>
        </is>
      </c>
      <c r="H15" s="18" t="inlineStr">
        <is>
          <t>Đạt</t>
        </is>
      </c>
    </row>
    <row r="16">
      <c r="A16" s="18" t="inlineStr">
        <is>
          <t>TC-PQ-12</t>
        </is>
      </c>
      <c r="B16" s="18" t="inlineStr">
        <is>
          <t>G3. Chỉ Sinh viên chủ đề tài</t>
        </is>
      </c>
      <c r="C16" s="18" t="inlineStr">
        <is>
          <t>Hội đồng nghiệm thu</t>
        </is>
      </c>
      <c r="D16" s="18" t="n">
        <v>5</v>
      </c>
      <c r="E16" s="18" t="inlineStr">
        <is>
          <t>F2.2 · POST /api/v1/de-tai
F2.4 · PATCH /api/v1/de-tai/{id}
F2.5 · DELETE /api/v1/de-tai/{id}
F3.4 · POST /api/v1/de-tai/{deTaiId}/bao-cao-moc
F3.5 · POST /api/v1/bao-cao-moc/{id} (nộp lại)</t>
        </is>
      </c>
      <c r="F16" s="18" t="inlineStr">
        <is>
          <t>403 ở mọi điểm cuối; không trả dữ liệu, không thay đổi dữ liệu</t>
        </is>
      </c>
      <c r="G16" s="18" t="inlineStr">
        <is>
          <t>Máy cục bộ, 09/10/2026: 5×403, không trả dữ liệu
Web, 10/10/2026: 5×403, không trả dữ liệu</t>
        </is>
      </c>
      <c r="H16" s="18" t="inlineStr">
        <is>
          <t>Đạt</t>
        </is>
      </c>
    </row>
    <row r="17">
      <c r="A17" s="18" t="inlineStr">
        <is>
          <t>TC-PQ-13</t>
        </is>
      </c>
      <c r="B17" s="18" t="inlineStr">
        <is>
          <t>G4. Chỉ Hội đồng nghiệm thu</t>
        </is>
      </c>
      <c r="C17" s="18" t="inlineStr">
        <is>
          <t>Khách chưa đăng nhập</t>
        </is>
      </c>
      <c r="D17" s="18" t="n">
        <v>3</v>
      </c>
      <c r="E17" s="18" t="inlineStr">
        <is>
          <t>F4.1 · GET /api/v1/nghiem-thu/ho-so?page=&amp;size=
F4.2 · GET /api/v1/de-tai/{id}/ho-so-nghiem-thu
F4.3 · POST /api/v1/de-tai/{id}/diem-nghiem-thu</t>
        </is>
      </c>
      <c r="F17" s="18" t="inlineStr">
        <is>
          <t>401 (API) hoặc chuyển về trang đăng nhập ở mọi điểm cuối; không trả dữ liệu</t>
        </is>
      </c>
      <c r="G17" s="18" t="inlineStr">
        <is>
          <t>Máy cục bộ, 09/10/2026: 3×401, không trả dữ liệu
Web, 10/10/2026: 3×401, không trả dữ liệu</t>
        </is>
      </c>
      <c r="H17" s="18" t="inlineStr">
        <is>
          <t>Đạt</t>
        </is>
      </c>
    </row>
    <row r="18">
      <c r="A18" s="18" t="inlineStr">
        <is>
          <t>TC-PQ-14</t>
        </is>
      </c>
      <c r="B18" s="18" t="inlineStr">
        <is>
          <t>G4. Chỉ Hội đồng nghiệm thu</t>
        </is>
      </c>
      <c r="C18" s="18" t="inlineStr">
        <is>
          <t>Sinh viên</t>
        </is>
      </c>
      <c r="D18" s="18" t="n">
        <v>3</v>
      </c>
      <c r="E18" s="18" t="inlineStr">
        <is>
          <t>F4.1 · GET /api/v1/nghiem-thu/ho-so?page=&amp;size=
F4.2 · GET /api/v1/de-tai/{id}/ho-so-nghiem-thu
F4.3 · POST /api/v1/de-tai/{id}/diem-nghiem-thu</t>
        </is>
      </c>
      <c r="F18" s="18" t="inlineStr">
        <is>
          <t>403 ở mọi điểm cuối; không trả dữ liệu, không thay đổi dữ liệu</t>
        </is>
      </c>
      <c r="G18" s="18" t="inlineStr">
        <is>
          <t>Máy cục bộ, 09/10/2026: 3×403, không trả dữ liệu
Web, 10/10/2026: 3×403, không trả dữ liệu</t>
        </is>
      </c>
      <c r="H18" s="18" t="inlineStr">
        <is>
          <t>Đạt</t>
        </is>
      </c>
    </row>
    <row r="19">
      <c r="A19" s="18" t="inlineStr">
        <is>
          <t>TC-PQ-15</t>
        </is>
      </c>
      <c r="B19" s="18" t="inlineStr">
        <is>
          <t>G4. Chỉ Hội đồng nghiệm thu</t>
        </is>
      </c>
      <c r="C19" s="18" t="inlineStr">
        <is>
          <t>Giảng viên hướng dẫn</t>
        </is>
      </c>
      <c r="D19" s="18" t="n">
        <v>3</v>
      </c>
      <c r="E19" s="18" t="inlineStr">
        <is>
          <t>F4.1 · GET /api/v1/nghiem-thu/ho-so?page=&amp;size=
F4.2 · GET /api/v1/de-tai/{id}/ho-so-nghiem-thu
F4.3 · POST /api/v1/de-tai/{id}/diem-nghiem-thu</t>
        </is>
      </c>
      <c r="F19" s="18" t="inlineStr">
        <is>
          <t>403 ở mọi điểm cuối; không trả dữ liệu, không thay đổi dữ liệu</t>
        </is>
      </c>
      <c r="G19" s="18" t="inlineStr">
        <is>
          <t>Máy cục bộ, 09/10/2026: 3×403, không trả dữ liệu
Web, 10/10/2026: 3×403, không trả dữ liệu</t>
        </is>
      </c>
      <c r="H19" s="18" t="inlineStr">
        <is>
          <t>Đạt</t>
        </is>
      </c>
    </row>
    <row r="20">
      <c r="A20" s="18" t="inlineStr">
        <is>
          <t>TC-PQ-16</t>
        </is>
      </c>
      <c r="B20" s="18" t="inlineStr">
        <is>
          <t>G4. Chỉ Hội đồng nghiệm thu</t>
        </is>
      </c>
      <c r="C20" s="18" t="inlineStr">
        <is>
          <t>Thư ký khoa / Quản trị viên</t>
        </is>
      </c>
      <c r="D20" s="18" t="n">
        <v>3</v>
      </c>
      <c r="E20" s="18" t="inlineStr">
        <is>
          <t>F4.1 · GET /api/v1/nghiem-thu/ho-so?page=&amp;size=
F4.2 · GET /api/v1/de-tai/{id}/ho-so-nghiem-thu
F4.3 · POST /api/v1/de-tai/{id}/diem-nghiem-thu</t>
        </is>
      </c>
      <c r="F20" s="18" t="inlineStr">
        <is>
          <t>403 ở mọi điểm cuối; không trả dữ liệu, không thay đổi dữ liệu</t>
        </is>
      </c>
      <c r="G20" s="18" t="inlineStr">
        <is>
          <t>Máy cục bộ, 09/10/2026: 3×403, không trả dữ liệu
Web, 10/10/2026: 3×403, không trả dữ liệu</t>
        </is>
      </c>
      <c r="H20" s="18" t="inlineStr">
        <is>
          <t>Đạt</t>
        </is>
      </c>
    </row>
    <row r="21">
      <c r="A21" s="18" t="inlineStr">
        <is>
          <t>TC-PQ-17</t>
        </is>
      </c>
      <c r="B21" s="18" t="inlineStr">
        <is>
          <t>G5. Điểm cuối nội bộ – không vai trò người dùng nào được gọi</t>
        </is>
      </c>
      <c r="C21" s="18" t="inlineStr">
        <is>
          <t>Khách chưa đăng nhập</t>
        </is>
      </c>
      <c r="D21" s="18" t="n">
        <v>2</v>
      </c>
      <c r="E21" s="18" t="inlineStr">
        <is>
          <t>F3.9 · POST /api/v1/internal/moc-thoi-gian/quet-qua-han
F6.3 · POST /api/v1/internal/thong-bao/nhac-han</t>
        </is>
      </c>
      <c r="F21" s="18" t="inlineStr">
        <is>
          <t>F6.3: 401 khi không có khóa nội bộ, không trả dữ liệu; F3.9 chưa hiện thực: 404</t>
        </is>
      </c>
      <c r="G21" s="18" t="inlineStr">
        <is>
          <t>Máy cục bộ, 09/10/2026: 2×404 (chưa hiện thực)
Web, 10/10/2026: 2×404 (chưa hiện thực)
Máy cục bộ, 14/10/2026: F6.3 401, F3.9 404 (sau khi hiện thực F6.3)</t>
        </is>
      </c>
      <c r="H21" s="18" t="inlineStr">
        <is>
          <t>Đạt</t>
        </is>
      </c>
    </row>
    <row r="22">
      <c r="A22" s="18" t="inlineStr">
        <is>
          <t>TC-PQ-18</t>
        </is>
      </c>
      <c r="B22" s="18" t="inlineStr">
        <is>
          <t>G5. Điểm cuối nội bộ – không vai trò người dùng nào được gọi</t>
        </is>
      </c>
      <c r="C22" s="18" t="inlineStr">
        <is>
          <t>Sinh viên</t>
        </is>
      </c>
      <c r="D22" s="18" t="n">
        <v>2</v>
      </c>
      <c r="E22" s="18" t="inlineStr">
        <is>
          <t>F3.9 · POST /api/v1/internal/moc-thoi-gian/quet-qua-han
F6.3 · POST /api/v1/internal/thong-bao/nhac-han</t>
        </is>
      </c>
      <c r="F22" s="18" t="inlineStr">
        <is>
          <t>F6.3: 403 khi không có khóa nội bộ, không trả dữ liệu; F3.9 chưa hiện thực: 404</t>
        </is>
      </c>
      <c r="G22" s="18" t="inlineStr">
        <is>
          <t>Máy cục bộ, 09/10/2026: 2×404 (chưa hiện thực)
Web, 10/10/2026: 2×404 (chưa hiện thực)
Máy cục bộ, 14/10/2026: F6.3 403, F3.9 404 (sau khi hiện thực F6.3)</t>
        </is>
      </c>
      <c r="H22" s="18" t="inlineStr">
        <is>
          <t>Đạt</t>
        </is>
      </c>
    </row>
    <row r="23">
      <c r="A23" s="18" t="inlineStr">
        <is>
          <t>TC-PQ-19</t>
        </is>
      </c>
      <c r="B23" s="18" t="inlineStr">
        <is>
          <t>G5. Điểm cuối nội bộ – không vai trò người dùng nào được gọi</t>
        </is>
      </c>
      <c r="C23" s="18" t="inlineStr">
        <is>
          <t>Giảng viên hướng dẫn</t>
        </is>
      </c>
      <c r="D23" s="18" t="n">
        <v>2</v>
      </c>
      <c r="E23" s="18" t="inlineStr">
        <is>
          <t>F3.9 · POST /api/v1/internal/moc-thoi-gian/quet-qua-han
F6.3 · POST /api/v1/internal/thong-bao/nhac-han</t>
        </is>
      </c>
      <c r="F23" s="18" t="inlineStr">
        <is>
          <t>F6.3: 403 khi không có khóa nội bộ, không trả dữ liệu; F3.9 chưa hiện thực: 404</t>
        </is>
      </c>
      <c r="G23" s="18" t="inlineStr">
        <is>
          <t>Máy cục bộ, 09/10/2026: 2×404 (chưa hiện thực)
Web, 10/10/2026: 2×404 (chưa hiện thực)
Máy cục bộ, 14/10/2026: F6.3 403, F3.9 404 (sau khi hiện thực F6.3)</t>
        </is>
      </c>
      <c r="H23" s="18" t="inlineStr">
        <is>
          <t>Đạt</t>
        </is>
      </c>
    </row>
    <row r="24">
      <c r="A24" s="18" t="inlineStr">
        <is>
          <t>TC-PQ-20</t>
        </is>
      </c>
      <c r="B24" s="18" t="inlineStr">
        <is>
          <t>G5. Điểm cuối nội bộ – không vai trò người dùng nào được gọi</t>
        </is>
      </c>
      <c r="C24" s="18" t="inlineStr">
        <is>
          <t>Thư ký khoa / Quản trị viên</t>
        </is>
      </c>
      <c r="D24" s="18" t="n">
        <v>2</v>
      </c>
      <c r="E24" s="18" t="inlineStr">
        <is>
          <t>F3.9 · POST /api/v1/internal/moc-thoi-gian/quet-qua-han
F6.3 · POST /api/v1/internal/thong-bao/nhac-han</t>
        </is>
      </c>
      <c r="F24" s="18" t="inlineStr">
        <is>
          <t>F6.3: 403 khi không có khóa nội bộ, không trả dữ liệu; F3.9 chưa hiện thực: 404</t>
        </is>
      </c>
      <c r="G24" s="18" t="inlineStr">
        <is>
          <t>Máy cục bộ, 09/10/2026: 2×404 (chưa hiện thực)
Web, 10/10/2026: 2×404 (chưa hiện thực)
Máy cục bộ, 14/10/2026: F6.3 403, F3.9 404 (sau khi hiện thực F6.3)</t>
        </is>
      </c>
      <c r="H24" s="18" t="inlineStr">
        <is>
          <t>Đạt</t>
        </is>
      </c>
    </row>
    <row r="25">
      <c r="A25" s="18" t="inlineStr">
        <is>
          <t>TC-PQ-21</t>
        </is>
      </c>
      <c r="B25" s="18" t="inlineStr">
        <is>
          <t>G5. Điểm cuối nội bộ – không vai trò người dùng nào được gọi</t>
        </is>
      </c>
      <c r="C25" s="18" t="inlineStr">
        <is>
          <t>Hội đồng nghiệm thu</t>
        </is>
      </c>
      <c r="D25" s="18" t="n">
        <v>2</v>
      </c>
      <c r="E25" s="18" t="inlineStr">
        <is>
          <t>F3.9 · POST /api/v1/internal/moc-thoi-gian/quet-qua-han
F6.3 · POST /api/v1/internal/thong-bao/nhac-han</t>
        </is>
      </c>
      <c r="F25" s="18" t="inlineStr">
        <is>
          <t>F6.3: 403 khi không có khóa nội bộ, không trả dữ liệu; F3.9 chưa hiện thực: 404</t>
        </is>
      </c>
      <c r="G25" s="18" t="inlineStr">
        <is>
          <t>Máy cục bộ, 09/10/2026: 2×404 (chưa hiện thực)
Web, 10/10/2026: 2×404 (chưa hiện thực)
Máy cục bộ, 14/10/2026: F6.3 403, F3.9 404 (sau khi hiện thực F6.3)</t>
        </is>
      </c>
      <c r="H25" s="18" t="inlineStr">
        <is>
          <t>Đạt</t>
        </is>
      </c>
    </row>
    <row r="26">
      <c r="A26" s="18" t="inlineStr">
        <is>
          <t>TC-PQ-22</t>
        </is>
      </c>
      <c r="B26" s="18" t="inlineStr">
        <is>
          <t>G6. Thư ký khoa (toàn khoa) và GVHD (trong phạm vi)</t>
        </is>
      </c>
      <c r="C26" s="18" t="inlineStr">
        <is>
          <t>Khách chưa đăng nhập</t>
        </is>
      </c>
      <c r="D26" s="18" t="n">
        <v>3</v>
      </c>
      <c r="E26" s="18" t="inlineStr">
        <is>
          <t>F5.1 · GET /api/v1/thong-ke/de-tai-theo-lop · /thong-ke/tien-do-nop · /thong-ke/gvhd</t>
        </is>
      </c>
      <c r="F26" s="18" t="inlineStr">
        <is>
          <t>401 (API) hoặc chuyển về trang đăng nhập ở mọi điểm cuối; không trả dữ liệu</t>
        </is>
      </c>
      <c r="G26" s="18" t="inlineStr">
        <is>
          <t>Máy cục bộ, 09/10/2026: 3×401, không trả dữ liệu
Web, 10/10/2026: 3×401, không trả dữ liệu</t>
        </is>
      </c>
      <c r="H26" s="18" t="inlineStr">
        <is>
          <t>Đạt</t>
        </is>
      </c>
    </row>
    <row r="27">
      <c r="A27" s="18" t="inlineStr">
        <is>
          <t>TC-PQ-23</t>
        </is>
      </c>
      <c r="B27" s="18" t="inlineStr">
        <is>
          <t>G6. Thư ký khoa (toàn khoa) và GVHD (trong phạm vi)</t>
        </is>
      </c>
      <c r="C27" s="18" t="inlineStr">
        <is>
          <t>Sinh viên</t>
        </is>
      </c>
      <c r="D27" s="18" t="n">
        <v>3</v>
      </c>
      <c r="E27" s="18" t="inlineStr">
        <is>
          <t>F5.1 · GET /api/v1/thong-ke/de-tai-theo-lop · /thong-ke/tien-do-nop · /thong-ke/gvhd</t>
        </is>
      </c>
      <c r="F27" s="18" t="inlineStr">
        <is>
          <t>403 ở mọi điểm cuối; không trả dữ liệu, không thay đổi dữ liệu</t>
        </is>
      </c>
      <c r="G27" s="18" t="inlineStr">
        <is>
          <t>Máy cục bộ, 09/10/2026: 3×403, không trả dữ liệu
Web, 10/10/2026: 3×403, không trả dữ liệu</t>
        </is>
      </c>
      <c r="H27" s="18" t="inlineStr">
        <is>
          <t>Đạt</t>
        </is>
      </c>
    </row>
    <row r="28">
      <c r="A28" s="18" t="inlineStr">
        <is>
          <t>TC-PQ-24</t>
        </is>
      </c>
      <c r="B28" s="18" t="inlineStr">
        <is>
          <t>G6. Thư ký khoa (toàn khoa) và GVHD (trong phạm vi)</t>
        </is>
      </c>
      <c r="C28" s="18" t="inlineStr">
        <is>
          <t>Hội đồng nghiệm thu</t>
        </is>
      </c>
      <c r="D28" s="18" t="n">
        <v>3</v>
      </c>
      <c r="E28" s="18" t="inlineStr">
        <is>
          <t>F5.1 · GET /api/v1/thong-ke/de-tai-theo-lop · /thong-ke/tien-do-nop · /thong-ke/gvhd</t>
        </is>
      </c>
      <c r="F28" s="18" t="inlineStr">
        <is>
          <t>403 ở mọi điểm cuối; không trả dữ liệu, không thay đổi dữ liệu</t>
        </is>
      </c>
      <c r="G28" s="18" t="inlineStr">
        <is>
          <t>Máy cục bộ, 09/10/2026: 3×403, không trả dữ liệu
Web, 10/10/2026: 3×403, không trả dữ liệu</t>
        </is>
      </c>
      <c r="H28" s="18" t="inlineStr">
        <is>
          <t>Đạt</t>
        </is>
      </c>
    </row>
    <row r="29">
      <c r="A29" s="18" t="inlineStr">
        <is>
          <t>TC-PQ-25</t>
        </is>
      </c>
      <c r="B29" s="18" t="inlineStr">
        <is>
          <t>G7. Sinh viên trong nhóm và GVHD phụ trách</t>
        </is>
      </c>
      <c r="C29" s="18" t="inlineStr">
        <is>
          <t>Khách chưa đăng nhập</t>
        </is>
      </c>
      <c r="D29" s="18" t="n">
        <v>2</v>
      </c>
      <c r="E29" s="18" t="inlineStr">
        <is>
          <t>F3.10 · GET /api/v1/de-tai/{id}/lich-su · /api/v1/bao-cao-moc/{id}/lich-su</t>
        </is>
      </c>
      <c r="F29" s="18" t="inlineStr">
        <is>
          <t>401 (API) hoặc chuyển về trang đăng nhập ở mọi điểm cuối; không trả dữ liệu</t>
        </is>
      </c>
      <c r="G29" s="18" t="inlineStr">
        <is>
          <t>Máy cục bộ, 09/10/2026: 2×401, không trả dữ liệu
Web, 10/10/2026: 2×401, không trả dữ liệu</t>
        </is>
      </c>
      <c r="H29" s="18" t="inlineStr">
        <is>
          <t>Đạt</t>
        </is>
      </c>
    </row>
    <row r="30">
      <c r="A30" s="18" t="inlineStr">
        <is>
          <t>TC-PQ-26</t>
        </is>
      </c>
      <c r="B30" s="18" t="inlineStr">
        <is>
          <t>G7. Sinh viên trong nhóm và GVHD phụ trách</t>
        </is>
      </c>
      <c r="C30" s="18" t="inlineStr">
        <is>
          <t>Thư ký khoa / Quản trị viên</t>
        </is>
      </c>
      <c r="D30" s="18" t="n">
        <v>2</v>
      </c>
      <c r="E30" s="18" t="inlineStr">
        <is>
          <t>F3.10 · GET /api/v1/de-tai/{id}/lich-su · /api/v1/bao-cao-moc/{id}/lich-su</t>
        </is>
      </c>
      <c r="F30" s="18" t="inlineStr">
        <is>
          <t>403 ở mọi điểm cuối; không trả dữ liệu, không thay đổi dữ liệu</t>
        </is>
      </c>
      <c r="G30" s="18" t="inlineStr">
        <is>
          <t>Máy cục bộ, 09/10/2026: 2×403, không trả dữ liệu
Web, 10/10/2026: 2×403, không trả dữ liệu</t>
        </is>
      </c>
      <c r="H30" s="18" t="inlineStr">
        <is>
          <t>Đạt</t>
        </is>
      </c>
    </row>
    <row r="31">
      <c r="A31" s="18" t="inlineStr">
        <is>
          <t>TC-PQ-27</t>
        </is>
      </c>
      <c r="B31" s="18" t="inlineStr">
        <is>
          <t>G7. Sinh viên trong nhóm và GVHD phụ trách</t>
        </is>
      </c>
      <c r="C31" s="18" t="inlineStr">
        <is>
          <t>Hội đồng nghiệm thu</t>
        </is>
      </c>
      <c r="D31" s="18" t="n">
        <v>2</v>
      </c>
      <c r="E31" s="18" t="inlineStr">
        <is>
          <t>F3.10 · GET /api/v1/de-tai/{id}/lich-su · /api/v1/bao-cao-moc/{id}/lich-su</t>
        </is>
      </c>
      <c r="F31" s="18" t="inlineStr">
        <is>
          <t>403 ở mọi điểm cuối; không trả dữ liệu, không thay đổi dữ liệu</t>
        </is>
      </c>
      <c r="G31" s="18" t="inlineStr">
        <is>
          <t>Máy cục bộ, 09/10/2026: 2×403, không trả dữ liệu
Web, 10/10/2026: 2×403, không trả dữ liệu</t>
        </is>
      </c>
      <c r="H31" s="18" t="inlineStr">
        <is>
          <t>Đạt</t>
        </is>
      </c>
    </row>
    <row r="32">
      <c r="A32" s="18" t="inlineStr">
        <is>
          <t>TC-PQ-28</t>
        </is>
      </c>
      <c r="B32" s="18" t="inlineStr">
        <is>
          <t>G8. Sinh viên trong nhóm, GVHD phụ trách và Thư ký khoa</t>
        </is>
      </c>
      <c r="C32" s="18" t="inlineStr">
        <is>
          <t>Khách chưa đăng nhập</t>
        </is>
      </c>
      <c r="D32" s="18" t="n">
        <v>2</v>
      </c>
      <c r="E32" s="18" t="inlineStr">
        <is>
          <t>F3.6 · GET /api/v1/bao-cao-moc/{id} · GET /api/v1/de-tai/{deTaiId}/bao-cao-moc</t>
        </is>
      </c>
      <c r="F32" s="18" t="inlineStr">
        <is>
          <t>401 (API) hoặc chuyển về trang đăng nhập ở mọi điểm cuối; không trả dữ liệu</t>
        </is>
      </c>
      <c r="G32" s="18" t="inlineStr">
        <is>
          <t>Máy cục bộ, 09/10/2026: 2×401, không trả dữ liệu
Web, 10/10/2026: 2×401, không trả dữ liệu</t>
        </is>
      </c>
      <c r="H32" s="18" t="inlineStr">
        <is>
          <t>Đạt</t>
        </is>
      </c>
    </row>
    <row r="33">
      <c r="A33" s="18" t="inlineStr">
        <is>
          <t>TC-PQ-29</t>
        </is>
      </c>
      <c r="B33" s="18" t="inlineStr">
        <is>
          <t>G8. Sinh viên trong nhóm, GVHD phụ trách và Thư ký khoa</t>
        </is>
      </c>
      <c r="C33" s="18" t="inlineStr">
        <is>
          <t>Hội đồng nghiệm thu</t>
        </is>
      </c>
      <c r="D33" s="18" t="n">
        <v>2</v>
      </c>
      <c r="E33" s="18" t="inlineStr">
        <is>
          <t>F3.6 · GET /api/v1/bao-cao-moc/{id} · GET /api/v1/de-tai/{deTaiId}/bao-cao-moc</t>
        </is>
      </c>
      <c r="F33" s="18" t="inlineStr">
        <is>
          <t>403 ở mọi điểm cuối; không trả dữ liệu, không thay đổi dữ liệu</t>
        </is>
      </c>
      <c r="G33" s="18" t="inlineStr">
        <is>
          <t>Máy cục bộ, 09/10/2026: 2×403, không trả dữ liệu
Web, 10/10/2026: 2×403, không trả dữ liệu</t>
        </is>
      </c>
      <c r="H33" s="18" t="inlineStr">
        <is>
          <t>Đạt</t>
        </is>
      </c>
    </row>
    <row r="34">
      <c r="A34" s="18" t="inlineStr">
        <is>
          <t>TC-PQ-30</t>
        </is>
      </c>
      <c r="B34" s="18" t="inlineStr">
        <is>
          <t>G9. Sinh viên trong nhóm và Thư ký khoa</t>
        </is>
      </c>
      <c r="C34" s="18" t="inlineStr">
        <is>
          <t>Khách chưa đăng nhập</t>
        </is>
      </c>
      <c r="D34" s="18" t="n">
        <v>3</v>
      </c>
      <c r="E34" s="18" t="inlineStr">
        <is>
          <t>F2.10 · GET /api/v1/nhom-sinh-vien/{id}
F2.11 · POST /api/v1/nhom-sinh-vien/{id}/thanh-vien · DELETE /api/v1/nhom-sinh-vien/{id}/thanh-vien/{svId}</t>
        </is>
      </c>
      <c r="F34" s="18" t="inlineStr">
        <is>
          <t>401 (API) hoặc chuyển về trang đăng nhập ở mọi điểm cuối; không trả dữ liệu</t>
        </is>
      </c>
      <c r="G34" s="18" t="inlineStr">
        <is>
          <t>Máy cục bộ, 09/10/2026: 3×401, không trả dữ liệu
Web, 10/10/2026: 3×401, không trả dữ liệu</t>
        </is>
      </c>
      <c r="H34" s="18" t="inlineStr">
        <is>
          <t>Đạt</t>
        </is>
      </c>
    </row>
    <row r="35">
      <c r="A35" s="18" t="inlineStr">
        <is>
          <t>TC-PQ-31</t>
        </is>
      </c>
      <c r="B35" s="18" t="inlineStr">
        <is>
          <t>G9. Sinh viên trong nhóm và Thư ký khoa</t>
        </is>
      </c>
      <c r="C35" s="18" t="inlineStr">
        <is>
          <t>Giảng viên hướng dẫn</t>
        </is>
      </c>
      <c r="D35" s="18" t="n">
        <v>3</v>
      </c>
      <c r="E35" s="18" t="inlineStr">
        <is>
          <t>F2.10 · GET /api/v1/nhom-sinh-vien/{id}
F2.11 · POST /api/v1/nhom-sinh-vien/{id}/thanh-vien · DELETE /api/v1/nhom-sinh-vien/{id}/thanh-vien/{svId}</t>
        </is>
      </c>
      <c r="F35" s="18" t="inlineStr">
        <is>
          <t>403 ở mọi điểm cuối; không trả dữ liệu, không thay đổi dữ liệu</t>
        </is>
      </c>
      <c r="G35" s="18" t="inlineStr">
        <is>
          <t>Máy cục bộ, 09/10/2026: 3×403, không trả dữ liệu
Web, 10/10/2026: 3×403, không trả dữ liệu</t>
        </is>
      </c>
      <c r="H35" s="18" t="inlineStr">
        <is>
          <t>Đạt</t>
        </is>
      </c>
    </row>
    <row r="36">
      <c r="A36" s="18" t="inlineStr">
        <is>
          <t>TC-PQ-32</t>
        </is>
      </c>
      <c r="B36" s="18" t="inlineStr">
        <is>
          <t>G9. Sinh viên trong nhóm và Thư ký khoa</t>
        </is>
      </c>
      <c r="C36" s="18" t="inlineStr">
        <is>
          <t>Hội đồng nghiệm thu</t>
        </is>
      </c>
      <c r="D36" s="18" t="n">
        <v>3</v>
      </c>
      <c r="E36" s="18" t="inlineStr">
        <is>
          <t>F2.10 · GET /api/v1/nhom-sinh-vien/{id}
F2.11 · POST /api/v1/nhom-sinh-vien/{id}/thanh-vien · DELETE /api/v1/nhom-sinh-vien/{id}/thanh-vien/{svId}</t>
        </is>
      </c>
      <c r="F36" s="18" t="inlineStr">
        <is>
          <t>403 ở mọi điểm cuối; không trả dữ liệu, không thay đổi dữ liệu</t>
        </is>
      </c>
      <c r="G36" s="18" t="inlineStr">
        <is>
          <t>Máy cục bộ, 09/10/2026: 3×403, không trả dữ liệu
Web, 10/10/2026: 3×403, không trả dữ liệu</t>
        </is>
      </c>
      <c r="H36" s="18" t="inlineStr">
        <is>
          <t>Đạt</t>
        </is>
      </c>
    </row>
    <row r="37">
      <c r="A37" s="18" t="inlineStr">
        <is>
          <t>TC-PQ-33</t>
        </is>
      </c>
      <c r="B37" s="18" t="inlineStr">
        <is>
          <t>G10. Mọi vai trò đã đăng nhập (chỉ chặn Khách)</t>
        </is>
      </c>
      <c r="C37" s="18" t="inlineStr">
        <is>
          <t>Khách chưa đăng nhập</t>
        </is>
      </c>
      <c r="D37" s="18" t="n">
        <v>11</v>
      </c>
      <c r="E37" s="18" t="inlineStr">
        <is>
          <t>F1.4 · PATCH /api/v1/nguoi-dung/toi/mat-khau
F1.5 · GET/PATCH /api/v1/nguoi-dung/toi
F2.3 · GET /api/v1/de-tai/{id}
F2.9 · GET /api/v1/de-tai
F3.2 · GET /api/v1/lop-hoc-phan · GET /api/v1/moc-thoi-gian
F3.11 · GET /api/v1/bao-cao-moc/{id}/tep
F4.4 · GET /api/v1/de-tai/{id}/diem-nghiem-thu
F6.1 · GET /api/v1/thong-bao
F6.2 · PATCH /api/v1/thong-bao/{id}/da-doc</t>
        </is>
      </c>
      <c r="F37" s="18" t="inlineStr">
        <is>
          <t>401 (API) hoặc chuyển về trang đăng nhập ở mọi điểm cuối; không trả dữ liệu</t>
        </is>
      </c>
      <c r="G37" s="18" t="inlineStr">
        <is>
          <t>Máy cục bộ, 09/10/2026: 11×401, không trả dữ liệu
Web, 10/10/2026: 11×401, không trả dữ liệu</t>
        </is>
      </c>
      <c r="H37" s="18" t="inlineStr">
        <is>
          <t>Đạt</t>
        </is>
      </c>
    </row>
  </sheetData>
  <autoFilter ref="A4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8" customWidth="1" min="3" max="3"/>
    <col width="46" customWidth="1" min="4" max="4"/>
    <col width="18" customWidth="1" min="5" max="5"/>
    <col width="8" customWidth="1" min="6" max="6"/>
  </cols>
  <sheetData>
    <row r="1">
      <c r="A1" s="1" t="inlineStr">
        <is>
          <t>CA KIỂM THỬ QUYỀN TRÊN ĐỐI TƯỢNG – hai tài khoản cùng vai trò (rủi ro BM4)</t>
        </is>
      </c>
    </row>
    <row r="2">
      <c r="A2" s="2" t="n"/>
    </row>
    <row r="4">
      <c r="A4" s="4" t="inlineStr">
        <is>
          <t>Mã ca</t>
        </is>
      </c>
      <c r="B4" s="4" t="inlineStr">
        <is>
          <t>Module</t>
        </is>
      </c>
      <c r="C4" s="4" t="inlineStr">
        <is>
          <t>Tình huống</t>
        </is>
      </c>
      <c r="D4" s="4" t="inlineStr">
        <is>
          <t>Kết quả mong đợi</t>
        </is>
      </c>
      <c r="E4" s="4" t="inlineStr">
        <is>
          <t>Kết quả thực tế</t>
        </is>
      </c>
      <c r="F4" s="4" t="inlineStr">
        <is>
          <t>KL</t>
        </is>
      </c>
    </row>
    <row r="5">
      <c r="A5" s="6" t="inlineStr">
        <is>
          <t>TC-DT-01</t>
        </is>
      </c>
      <c r="B5" s="6" t="inlineStr">
        <is>
          <t>M2</t>
        </is>
      </c>
      <c r="C5" s="6" t="inlineStr">
        <is>
          <t>Sinh viên nhóm khác gọi GET /api/v1/de-tai/{id} của nhóm A</t>
        </is>
      </c>
      <c r="D5" s="6" t="inlineStr">
        <is>
          <t>403 hoặc 404; không trả dữ liệu đề tài</t>
        </is>
      </c>
      <c r="E5" s="6" t="inlineStr">
        <is>
          <t>25/09/2026, trực tuyến: A (sv_tran_van_b, chủ đề tài 1) nhận 200; B (sv_nhom_khac_332626) nhận 403 FORBIDDEN – Ảnh 19</t>
        </is>
      </c>
      <c r="F5" s="6" t="inlineStr">
        <is>
          <t>Đạt</t>
        </is>
      </c>
    </row>
    <row r="6">
      <c r="A6" s="6" t="inlineStr">
        <is>
          <t>TC-DT-02</t>
        </is>
      </c>
      <c r="B6" s="6" t="inlineStr">
        <is>
          <t>M2</t>
        </is>
      </c>
      <c r="C6" s="6" t="inlineStr">
        <is>
          <t>GVHD không được phân công gọi POST /api/v1/de-tai/{id}/duyet</t>
        </is>
      </c>
      <c r="D6" s="6" t="inlineStr">
        <is>
          <t>403; trạng thái không đổi; ghi nhật ký truy cập trái phép (UC02)</t>
        </is>
      </c>
      <c r="E6" s="6" t="inlineStr">
        <is>
          <t>Chưa chạy</t>
        </is>
      </c>
      <c r="F6" s="6" t="inlineStr">
        <is>
          <t>—</t>
        </is>
      </c>
    </row>
    <row r="7">
      <c r="A7" s="6" t="inlineStr">
        <is>
          <t>TC-DT-03</t>
        </is>
      </c>
      <c r="B7" s="6" t="inlineStr">
        <is>
          <t>M2</t>
        </is>
      </c>
      <c r="C7" s="6" t="inlineStr">
        <is>
          <t>Sinh viên nhóm khác gọi DELETE /api/v1/de-tai/{id}</t>
        </is>
      </c>
      <c r="D7" s="6" t="inlineStr">
        <is>
          <t>403 hoặc 404; đề tài không bị xóa</t>
        </is>
      </c>
      <c r="E7" s="6" t="inlineStr">
        <is>
          <t>Chưa chạy</t>
        </is>
      </c>
      <c r="F7" s="6" t="inlineStr">
        <is>
          <t>—</t>
        </is>
      </c>
    </row>
    <row r="8">
      <c r="A8" s="6" t="inlineStr">
        <is>
          <t>TC-DT-04</t>
        </is>
      </c>
      <c r="B8" s="6" t="inlineStr">
        <is>
          <t>M3</t>
        </is>
      </c>
      <c r="C8" s="6" t="inlineStr">
        <is>
          <t>Sinh viên nhóm khác gọi POST /api/v1/de-tai/{deTaiId}/bao-cao-moc</t>
        </is>
      </c>
      <c r="D8" s="6" t="inlineStr">
        <is>
          <t>403 hoặc 404; không tạo bản nộp</t>
        </is>
      </c>
      <c r="E8" s="6" t="inlineStr">
        <is>
          <t>Chưa chạy</t>
        </is>
      </c>
      <c r="F8" s="6" t="inlineStr">
        <is>
          <t>—</t>
        </is>
      </c>
    </row>
    <row r="9">
      <c r="A9" s="6" t="inlineStr">
        <is>
          <t>TC-DT-05</t>
        </is>
      </c>
      <c r="B9" s="6" t="inlineStr">
        <is>
          <t>M3</t>
        </is>
      </c>
      <c r="C9" s="6" t="inlineStr">
        <is>
          <t>GVHD không phụ trách gọi POST /api/v1/bao-cao-moc/{id}/duyet</t>
        </is>
      </c>
      <c r="D9" s="6" t="inlineStr">
        <is>
          <t>403; trạng thái mốc không đổi</t>
        </is>
      </c>
      <c r="E9" s="6" t="inlineStr">
        <is>
          <t>Chưa chạy</t>
        </is>
      </c>
      <c r="F9" s="6" t="inlineStr">
        <is>
          <t>—</t>
        </is>
      </c>
    </row>
    <row r="10">
      <c r="A10" s="6" t="inlineStr">
        <is>
          <t>TC-DT-06</t>
        </is>
      </c>
      <c r="B10" s="6" t="inlineStr">
        <is>
          <t>M3</t>
        </is>
      </c>
      <c r="C10" s="6" t="inlineStr">
        <is>
          <t>Sinh viên nhóm khác gọi GET /api/v1/bao-cao-moc/{id}</t>
        </is>
      </c>
      <c r="D10" s="6" t="inlineStr">
        <is>
          <t>403 hoặc 404; không lộ tệp báo cáo</t>
        </is>
      </c>
      <c r="E10" s="6" t="inlineStr">
        <is>
          <t>Chưa chạy</t>
        </is>
      </c>
      <c r="F10" s="6" t="inlineStr">
        <is>
          <t>—</t>
        </is>
      </c>
    </row>
    <row r="11">
      <c r="A11" s="6" t="inlineStr">
        <is>
          <t>TC-DT-07</t>
        </is>
      </c>
      <c r="B11" s="6" t="inlineStr">
        <is>
          <t>M4</t>
        </is>
      </c>
      <c r="C11" s="6" t="inlineStr">
        <is>
          <t>Hội đồng chấm điểm đề tài chưa đủ điều kiện nghiệm thu</t>
        </is>
      </c>
      <c r="D11" s="6" t="inlineStr">
        <is>
          <t>403 hoặc 422; không lưu điểm</t>
        </is>
      </c>
      <c r="E11" s="6" t="inlineStr">
        <is>
          <t>Chưa chạy</t>
        </is>
      </c>
      <c r="F11" s="6" t="inlineStr">
        <is>
          <t>—</t>
        </is>
      </c>
    </row>
    <row r="12">
      <c r="A12" s="6" t="inlineStr">
        <is>
          <t>TC-DT-08</t>
        </is>
      </c>
      <c r="B12" s="6" t="inlineStr">
        <is>
          <t>M2</t>
        </is>
      </c>
      <c r="C12" s="6" t="inlineStr">
        <is>
          <t>Sinh viên A gọi GET /api/v1/de-tai?page=1</t>
        </is>
      </c>
      <c r="D12" s="6" t="inlineStr">
        <is>
          <t>Chỉ trả đề tài của nhóm A, không lộ nhóm khác</t>
        </is>
      </c>
      <c r="E12" s="6" t="inlineStr">
        <is>
          <t>Chưa chạy</t>
        </is>
      </c>
      <c r="F12" s="6" t="inlineStr">
        <is>
          <t>—</t>
        </is>
      </c>
    </row>
    <row r="13">
      <c r="A13" s="6" t="inlineStr">
        <is>
          <t>TC-DT-09</t>
        </is>
      </c>
      <c r="B13" s="6" t="inlineStr">
        <is>
          <t>M1</t>
        </is>
      </c>
      <c r="C13" s="6" t="inlineStr">
        <is>
          <t>Khách gọi POST /api/v1/auth/dang-ky kèm trường vai trò quản trị</t>
        </is>
      </c>
      <c r="D13" s="6" t="inlineStr">
        <is>
          <t>Tài khoản tạo ra vẫn là Sinh viên, hoặc 422</t>
        </is>
      </c>
      <c r="E13" s="6" t="inlineStr">
        <is>
          <t>Buổi 4: gửi vai_tro = THU_KY_KHOA khi đăng ký, tài khoản tạo ra vẫn là sinh_vien</t>
        </is>
      </c>
      <c r="F13" s="6" t="inlineStr">
        <is>
          <t>Đạt</t>
        </is>
      </c>
    </row>
    <row r="14">
      <c r="A14" s="6" t="inlineStr">
        <is>
          <t>TC-DT-10</t>
        </is>
      </c>
      <c r="B14" s="6" t="inlineStr">
        <is>
          <t>M1</t>
        </is>
      </c>
      <c r="C14" s="6" t="inlineStr">
        <is>
          <t>Người dùng gọi PATCH /api/v1/nguoi-dung/toi kèm vai trò hoặc id của người khác</t>
        </is>
      </c>
      <c r="D14" s="6" t="inlineStr">
        <is>
          <t>Vai trò và định danh không đổi</t>
        </is>
      </c>
      <c r="E14" s="6" t="inlineStr">
        <is>
          <t>Chưa chạy</t>
        </is>
      </c>
      <c r="F14" s="6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30" customWidth="1" min="4" max="4"/>
    <col width="52" customWidth="1" min="5" max="5"/>
    <col width="46" customWidth="1" min="6" max="6"/>
    <col width="16" customWidth="1" min="7" max="7"/>
    <col width="8" customWidth="1" min="8" max="8"/>
  </cols>
  <sheetData>
    <row r="1">
      <c r="A1" s="1" t="inlineStr">
        <is>
          <t>CA KIỂM THỬ HAI LUỒNG NGHIỆP VỤ CỐT LÕI VÀ THAO TÁC DỮ LIỆU – BUỔI 5 (UC01 – UC04)</t>
        </is>
      </c>
    </row>
    <row r="2">
      <c r="A2" s="4" t="inlineStr">
        <is>
          <t>Mã ca</t>
        </is>
      </c>
      <c r="B2" s="4" t="inlineStr">
        <is>
          <t>Luồng / UC</t>
        </is>
      </c>
      <c r="C2" s="4" t="inlineStr">
        <is>
          <t>Loại</t>
        </is>
      </c>
      <c r="D2" s="4" t="inlineStr">
        <is>
          <t>Tiền đề</t>
        </is>
      </c>
      <c r="E2" s="4" t="inlineStr">
        <is>
          <t>Bước thực hiện</t>
        </is>
      </c>
      <c r="F2" s="4" t="inlineStr">
        <is>
          <t>Kết quả mong đợi</t>
        </is>
      </c>
      <c r="G2" s="4" t="inlineStr">
        <is>
          <t>Kết quả thực tế</t>
        </is>
      </c>
      <c r="H2" s="4" t="inlineStr">
        <is>
          <t>KL</t>
        </is>
      </c>
    </row>
    <row r="3">
      <c r="A3" s="18" t="inlineStr">
        <is>
          <t>TC-NV-01</t>
        </is>
      </c>
      <c r="B3" s="18" t="inlineStr">
        <is>
          <t>L1 · UC01</t>
        </is>
      </c>
      <c r="C3" s="18" t="inlineStr">
        <is>
          <t>Luồng chính</t>
        </is>
      </c>
      <c r="D3" s="18" t="inlineStr">
        <is>
          <t>Đăng nhập sv_chua_co_nhom (sinh viên chưa có đề tài nào)</t>
        </is>
      </c>
      <c r="E3" s="18" t="inlineStr">
        <is>
          <t>POST /api/v1/de-tai {"ten_de_tai":"Hệ thống kiểm thử 01","mo_ta_pham_vi":"Mô tả thử","lop_hoc_phan_id":1}</t>
        </is>
      </c>
      <c r="F3" s="18" t="inlineStr">
        <is>
          <t>201; đề tài ở trạng thái pending; sinh_vien_de_xuat_id = người đang đăng nhập; người đó là nhóm trưởng (thanh_vien_nhom = leader). Gửi đề xuất lần hai: 422 DA_CO_DE_TAI</t>
        </is>
      </c>
      <c r="G3" s="18" t="inlineStr">
        <is>
          <t>Máy cục bộ, 01/10/2026: 201, pending, sinh_vien_de_xuat_id = 220, nhóm trưởng = leader; đề xuất lần hai: 422 DA_CO_DE_TAI
Web, 01/10/2026: 201, pending, sinh_vien_de_xuat_id = 220 (người gọi 220); đề xuất lần hai: 422 DA_CO_DE_TAI</t>
        </is>
      </c>
      <c r="H3" s="18" t="inlineStr">
        <is>
          <t>Đạt</t>
        </is>
      </c>
    </row>
    <row r="4">
      <c r="A4" s="18" t="inlineStr">
        <is>
          <t>TC-NV-02</t>
        </is>
      </c>
      <c r="B4" s="18" t="inlineStr">
        <is>
          <t>L1 · UC01</t>
        </is>
      </c>
      <c r="C4" s="18" t="inlineStr">
        <is>
          <t>Biên</t>
        </is>
      </c>
      <c r="D4" s="18" t="inlineStr">
        <is>
          <t>sv_chua_co_nhom đã xóa đề xuất của TC-NV-01 (DELETE /api/v1/de-tai/{id}) nên chưa có đề tài</t>
        </is>
      </c>
      <c r="E4" s="18" t="inlineStr">
        <is>
          <t>Gửi ten_de_tai dài đúng 201 ký tự; sau đó gửi đúng 200 ký tự</t>
        </is>
      </c>
      <c r="F4" s="18" t="inlineStr">
        <is>
          <t>201 ký tự: 422 VALIDATION_FAILED, details chỉ ra ten_de_tai, số đề tài không tăng. 200 ký tự: 201</t>
        </is>
      </c>
      <c r="G4" s="18" t="inlineStr">
        <is>
          <t>Máy cục bộ, 01/10/2026: 201 ký tự: 422 VALIDATION_FAILED, details chỉ ra ten_de_tai, số đề tài 83 → 83; 200 ký tự: 201
Web, 01/10/2026: 201 ký tự: 422 VALIDATION_FAILED, details chỉ ra ten_de_tai, số đề tài của sv_chua_co_nhom 0 → 0; 200 ký tự: 201</t>
        </is>
      </c>
      <c r="H4" s="18" t="inlineStr">
        <is>
          <t>Đạt</t>
        </is>
      </c>
    </row>
    <row r="5">
      <c r="A5" s="18" t="inlineStr">
        <is>
          <t>TC-NV-03</t>
        </is>
      </c>
      <c r="B5" s="18" t="inlineStr">
        <is>
          <t>L1 · UC01</t>
        </is>
      </c>
      <c r="C5" s="18" t="inlineStr">
        <is>
          <t>Ngoại lệ – dữ liệu thiếu, sai</t>
        </is>
      </c>
      <c r="D5" s="18" t="inlineStr">
        <is>
          <t>Sinh viên bất kỳ đã đăng nhập (dữ liệu bị chặn ngay ở bước kiểm tra định dạng)</t>
        </is>
      </c>
      <c r="E5" s="18" t="inlineStr">
        <is>
          <t>(a) bỏ mo_ta_pham_vi; (b) ten_de_tai = "   " (chỉ khoảng trắng); (c) sv_chua_co_nhom (chưa có đề tài) gửi thêm "trang_thai":"approved","gvhd_id":2; (d) thân không phải JSON hợp lệ</t>
        </is>
      </c>
      <c r="F5" s="18" t="inlineStr">
        <is>
          <t>(a), (b), (d): 422 VALIDATION_FAILED có details, không tạo bản ghi. (c): 201 nhưng trạng thái vẫn pending, gvhd_id không lấy từ dữ liệu gửi lên</t>
        </is>
      </c>
      <c r="G5" s="18" t="inlineStr">
        <is>
          <t>Máy cục bộ, 01/10/2026: (a) 422 VALIDATION_FAILED; (b) 422 VALIDATION_FAILED; (d) 422 VALIDATION_FAILED; số đề tài 83 → 83; (c) 201, pending, gvhd_id = NULL
Web, 01/10/2026: (a) 422 VALIDATION_FAILED; (b) 422 VALIDATION_FAILED; (d) 422 VALIDATION_FAILED; số đề tài của sv24100070 1 → 1; (c) 201, pending, gvhd_id = NULL</t>
        </is>
      </c>
      <c r="H5" s="18" t="inlineStr">
        <is>
          <t>Đạt</t>
        </is>
      </c>
    </row>
    <row r="6">
      <c r="A6" s="18" t="inlineStr">
        <is>
          <t>TC-NV-04</t>
        </is>
      </c>
      <c r="B6" s="18" t="inlineStr">
        <is>
          <t>L1 · UC01</t>
        </is>
      </c>
      <c r="C6" s="18" t="inlineStr">
        <is>
          <t>Luồng thay thế – trùng tên</t>
        </is>
      </c>
      <c r="D6" s="18" t="inlineStr">
        <is>
          <t>Lớp 1 đã có đề tài "Xây dựng Hệ thống Quản lý Đồ án Tốt nghiệp"; đăng nhập sinh viên chưa có đề tài (sv_chua_co_nhom)</t>
        </is>
      </c>
      <c r="E6" s="18" t="inlineStr">
        <is>
          <t>POST /api/v1/de-tai với đúng tên đó, lop_hoc_phan_id = 1; thử thêm bản viết hoa toàn bộ</t>
        </is>
      </c>
      <c r="F6" s="18" t="inlineStr">
        <is>
          <t>422, thông báo trùng tên và yêu cầu đổi tên; không tạo bản ghi</t>
        </is>
      </c>
      <c r="G6" s="18" t="inlineStr">
        <is>
          <t>Máy cục bộ, 01/10/2026: Đúng tên: 422 VALIDATION_FAILED; viết hoa toàn bộ: 422 VALIDATION_FAILED (Trung ten de tai da co trong lop); số đề tài 83 → 83
Web, 01/10/2026: Đúng tên: 422 VALIDATION_FAILED; viết hoa toàn bộ: 422 VALIDATION_FAILED (Trung ten de tai da co trong lop); số đề tài 0 → 0</t>
        </is>
      </c>
      <c r="H6" s="18" t="inlineStr">
        <is>
          <t>Đạt</t>
        </is>
      </c>
    </row>
    <row r="7">
      <c r="A7" s="18" t="inlineStr">
        <is>
          <t>TC-NV-05</t>
        </is>
      </c>
      <c r="B7" s="18" t="inlineStr">
        <is>
          <t>L1 · UC02</t>
        </is>
      </c>
      <c r="C7" s="18" t="inlineStr">
        <is>
          <t>Luồng chính – ghi nhiều bảng</t>
        </is>
      </c>
      <c r="D7" s="18" t="inlineStr">
        <is>
          <t>Đề tài 14 đang pending, gvhd_id = 2 (gv_nguyen_van_a)</t>
        </is>
      </c>
      <c r="E7" s="18" t="inlineStr">
        <is>
          <t>Đăng nhập gv_nguyen_van_a; POST /api/v1/de-tai/14/duyet {"nhan_xet":"Đồng ý"}</t>
        </is>
      </c>
      <c r="F7" s="18" t="inlineStr">
        <is>
          <t>200; đề tài sang approved; ghi nhật ký APPROVE_TOPIC và thông báo cho nhóm trưởng trong cùng một giao dịch</t>
        </is>
      </c>
      <c r="G7" s="18" t="inlineStr">
        <is>
          <t>Máy cục bộ, 01/10/2026: 200, approved; nhật ký APPROVE_TOPIC: 1 dòng; thông báo cho nhóm trưởng: 0 → 1
Web, 01/10/2026: 200, approved; nhật ký APPROVE_TOPIC cho đề tài 14: 1 dòng</t>
        </is>
      </c>
      <c r="H7" s="18" t="inlineStr">
        <is>
          <t>Đạt</t>
        </is>
      </c>
    </row>
    <row r="8">
      <c r="A8" s="18" t="inlineStr">
        <is>
          <t>TC-NV-06</t>
        </is>
      </c>
      <c r="B8" s="18" t="inlineStr">
        <is>
          <t>L1 · UC02</t>
        </is>
      </c>
      <c r="C8" s="18" t="inlineStr">
        <is>
          <t>Luồng thay thế – từ chối</t>
        </is>
      </c>
      <c r="D8" s="18" t="inlineStr">
        <is>
          <t>Đề tài 42 đang pending, gvhd_id = 6 (gv_nguyen_thi_hanh)</t>
        </is>
      </c>
      <c r="E8" s="18" t="inlineStr">
        <is>
          <t>Đăng nhập gv_nguyen_thi_hanh; (a) POST /api/v1/de-tai/42/tu-choi không có ly_do hoặc ly_do rỗng; (b) gửi {"ly_do":"Thu hẹp phạm vi"}</t>
        </is>
      </c>
      <c r="F8" s="18" t="inlineStr">
        <is>
          <t>(a): 422, trạng thái không đổi. (b): 200, đề tài sang rejected; lý do ghi vào nhật ký và thông báo cho nhóm trưởng</t>
        </is>
      </c>
      <c r="G8" s="18" t="inlineStr">
        <is>
          <t>Máy cục bộ, 01/10/2026: (a) 422 VALIDATION_FAILED, vẫn pending; (b) 200, rejected, lý do ghi vào nhật ký: 1 dòng
Web, 01/10/2026: (a) 422 VALIDATION_FAILED, vẫn pending; (b) 200, rejected; nhật ký REJECT_TOPIC có lý do: 1 dòng; thông báo cho nhóm trưởng (id 120): có</t>
        </is>
      </c>
      <c r="H8" s="18" t="inlineStr">
        <is>
          <t>Đạt</t>
        </is>
      </c>
    </row>
    <row r="9">
      <c r="A9" s="18" t="inlineStr">
        <is>
          <t>TC-NV-07</t>
        </is>
      </c>
      <c r="B9" s="18" t="inlineStr">
        <is>
          <t>L1 · UC02</t>
        </is>
      </c>
      <c r="C9" s="18" t="inlineStr">
        <is>
          <t>Ngoại lệ – chuyển trạng thái sai</t>
        </is>
      </c>
      <c r="D9" s="18" t="inlineStr">
        <is>
          <t>Đề tài 1 đang in_progress</t>
        </is>
      </c>
      <c r="E9" s="18" t="inlineStr">
        <is>
          <t>gv_nguyen_van_a gọi lại POST /de-tai/1/duyet và POST /de-tai/1/tu-choi</t>
        </is>
      </c>
      <c r="F9" s="18" t="inlineStr">
        <is>
          <t>422 (chuyển trạng thái không hợp lệ); trạng thái giữ nguyên in_progress</t>
        </is>
      </c>
      <c r="G9" s="18" t="inlineStr">
        <is>
          <t>Máy cục bộ, 01/10/2026: /duyet: 422 INVALID_TRANSITION; /tu-choi: 422 INVALID_TRANSITION; đề tài 1 vẫn in_progress
Web, 01/10/2026: /duyet: 422 INVALID_TRANSITION; /tu-choi: 422 INVALID_TRANSITION; đề tài 1 vẫn in_progress</t>
        </is>
      </c>
      <c r="H9" s="18" t="inlineStr">
        <is>
          <t>Đạt</t>
        </is>
      </c>
    </row>
    <row r="10">
      <c r="A10" s="18" t="inlineStr">
        <is>
          <t>TC-NV-08</t>
        </is>
      </c>
      <c r="B10" s="18" t="inlineStr">
        <is>
          <t>L1 · UC02</t>
        </is>
      </c>
      <c r="C10" s="18" t="inlineStr">
        <is>
          <t>Ngoại lệ – đối tượng không tồn tại</t>
        </is>
      </c>
      <c r="D10" s="18" t="inlineStr">
        <is>
          <t>Đăng nhập gv_nguyen_van_a</t>
        </is>
      </c>
      <c r="E10" s="18" t="inlineStr">
        <is>
          <t>POST /api/v1/de-tai/999999/duyet; POST /api/v1/de-tai/0/duyet</t>
        </is>
      </c>
      <c r="F10" s="18" t="inlineStr">
        <is>
          <t>id không tồn tại: 404; id 0: 404 hoặc 422; không có lỗi 500</t>
        </is>
      </c>
      <c r="G10" s="18" t="inlineStr">
        <is>
          <t>Máy cục bộ, 01/10/2026: id 999999: 404 NOT_FOUND; id 0: 422 VALIDATION_FAILED
Web, 01/10/2026: id 999999: 404 NOT_FOUND; id 0: 422 VALIDATION_FAILED</t>
        </is>
      </c>
      <c r="H10" s="18" t="inlineStr">
        <is>
          <t>Đạt</t>
        </is>
      </c>
    </row>
    <row r="11">
      <c r="A11" s="18" t="inlineStr">
        <is>
          <t>TC-NV-09</t>
        </is>
      </c>
      <c r="B11" s="18" t="inlineStr">
        <is>
          <t>L2 · UC03</t>
        </is>
      </c>
      <c r="C11" s="18" t="inlineStr">
        <is>
          <t>Luồng chính</t>
        </is>
      </c>
      <c r="D11" s="18" t="inlineStr">
        <is>
          <t>Đề tài 1 (in_progress) của sv_tran_van_b; mốc 3 của lớp 1, hạn 15/10/2026</t>
        </is>
      </c>
      <c r="E11" s="18" t="inlineStr">
        <is>
          <t>sv_tran_van_b gọi POST /api/v1/de-tai/1/bao-cao-moc (multipart: moc_thoi_gian_id = 3, tep = báo cáo .pdf khoảng 200 KB)</t>
        </is>
      </c>
      <c r="F11" s="18" t="inlineStr">
        <is>
          <t>201; bao_cao_moc ở trạng thái pending; duong_dan_tep là tên ngẫu nhiên, ten_tep_goc giữ tên gốc; tệp nằm ngoài public/</t>
        </is>
      </c>
      <c r="G11" s="18" t="inlineStr">
        <is>
          <t>Máy cục bộ, 01/10/2026: 201, pending (báo cáo 78); tệp lưu bao_cao/5d95a0a65ced4c8a376351b4a925bde4.pdf trong writable/uploads (ngoài public/), tên gốc bc.pdf; phản hồi không có duong_dan_tep
Web, 01/10/2026: 201, pending (báo cáo 78); tệp lưu bao_cao/&lt;tên ngẫu nhiên&gt;.pdf, tên gốc bc.pdf; phản hồi không có duong_dan_tep; thông báo cho GVHD: có</t>
        </is>
      </c>
      <c r="H11" s="18" t="inlineStr">
        <is>
          <t>Đạt</t>
        </is>
      </c>
    </row>
    <row r="12">
      <c r="A12" s="18" t="inlineStr">
        <is>
          <t>TC-NV-10</t>
        </is>
      </c>
      <c r="B12" s="18" t="inlineStr">
        <is>
          <t>L2 · UC03</t>
        </is>
      </c>
      <c r="C12" s="18" t="inlineStr">
        <is>
          <t>Biên – dung lượng</t>
        </is>
      </c>
      <c r="D12" s="18" t="inlineStr">
        <is>
          <t>Như TC-NV-09</t>
        </is>
      </c>
      <c r="E12" s="18" t="inlineStr">
        <is>
          <t>Nộp tệp .pdf đúng 5 MB (5 242 880 byte); sau đó 5 242 881 byte</t>
        </is>
      </c>
      <c r="F12" s="18" t="inlineStr">
        <is>
          <t>5 MB: 201. Vượt 1 byte: 422, không lưu tệp, không tạo bản ghi</t>
        </is>
      </c>
      <c r="G12" s="18" t="inlineStr">
        <is>
          <t>Máy cục bộ, 01/10/2026: 5 242 880 byte: 201; 5 242 881 byte: 422 VALIDATION_FAILED; bản ghi 78 → 79, tệp lưu 1 → 2 (chỉ tăng 1 của tệp 5 MB)
Web, 01/10/2026: 5 242 880 byte: 201 (báo cáo 79, du5mb.pdf); 5 242 881 byte: 422 VALIDATION_FAILED (Dung luong toi da 5 MB)</t>
        </is>
      </c>
      <c r="H12" s="18" t="inlineStr">
        <is>
          <t>Đạt</t>
        </is>
      </c>
    </row>
    <row r="13">
      <c r="A13" s="18" t="inlineStr">
        <is>
          <t>TC-NV-11</t>
        </is>
      </c>
      <c r="B13" s="18" t="inlineStr">
        <is>
          <t>L2 · UC03</t>
        </is>
      </c>
      <c r="C13" s="18" t="inlineStr">
        <is>
          <t>Ngoại lệ – định dạng tệp</t>
        </is>
      </c>
      <c r="D13" s="18" t="inlineStr">
        <is>
          <t>Như TC-NV-09</t>
        </is>
      </c>
      <c r="E13" s="18" t="inlineStr">
        <is>
          <t>(a) tệp .txt; (b) tệp .exe đổi đuôi thành .pdf; (c) không gửi tep</t>
        </is>
      </c>
      <c r="F13" s="18" t="inlineStr">
        <is>
          <t>422 kèm lý do rõ ràng (UC03); không để lại tệp rác trong thư mục lưu tệp</t>
        </is>
      </c>
      <c r="G13" s="18" t="inlineStr">
        <is>
          <t>Máy cục bộ, 01/10/2026: (a) .txt: 422 (Chi nhan tep .pdf hoac .docx); (b) .exe đổi đuôi .pdf: 422 (Noi dung tep khong dung dinh dang pdf); (c) không gửi tệp: 422 (Bat buoc gui tep bao cao); bản ghi 79 → 79, tệp 2 → 2
Web, 01/10/2026: (a) .txt: 422 (Chi nhan tep .pdf hoac .docx); (b) .exe đổi đuôi .pdf: 422 (Noi dung tep khong dung dinh dang pdf); (c) không gửi tệp: 422 (Bat buoc gui tep bao cao)</t>
        </is>
      </c>
      <c r="H13" s="18" t="inlineStr">
        <is>
          <t>Đạt</t>
        </is>
      </c>
    </row>
    <row r="14">
      <c r="A14" s="18" t="inlineStr">
        <is>
          <t>TC-NV-12</t>
        </is>
      </c>
      <c r="B14" s="18" t="inlineStr">
        <is>
          <t>L2 · UC03</t>
        </is>
      </c>
      <c r="C14" s="18" t="inlineStr">
        <is>
          <t>Ngoại lệ – mốc đóng, đề tài chưa duyệt</t>
        </is>
      </c>
      <c r="D14" s="18" t="inlineStr">
        <is>
          <t>Mốc 1 của lớp 1 hết hạn 01/03/2026; đề tài 22 đang pending (nhóm trưởng sv24100070)</t>
        </is>
      </c>
      <c r="E14" s="18" t="inlineStr">
        <is>
          <t>(a) sv_tran_van_b nộp cho đề tài 1 vào mốc 1; (b) sv24100070 nộp cho đề tài 22 vào mốc 3</t>
        </is>
      </c>
      <c r="F14" s="18" t="inlineStr">
        <is>
          <t>422; không tạo bản ghi, không lưu tệp</t>
        </is>
      </c>
      <c r="G14" s="18" t="inlineStr">
        <is>
          <t>Máy cục bộ, 01/10/2026: (a) mốc 1 đã hết hạn: 422 MOC_DA_DONG; (b) đề tài 22 pending: 422 INVALID_TRANSITION; bản ghi 79 → 79
Web, 01/10/2026: (a) mốc 1 đã hết hạn: 422 MOC_DA_DONG; (b) đề tài 22 pending: 422 INVALID_TRANSITION</t>
        </is>
      </c>
      <c r="H14" s="18" t="inlineStr">
        <is>
          <t>Đạt</t>
        </is>
      </c>
    </row>
    <row r="15">
      <c r="A15" s="18" t="inlineStr">
        <is>
          <t>TC-NV-13</t>
        </is>
      </c>
      <c r="B15" s="18" t="inlineStr">
        <is>
          <t>L2 · UC04</t>
        </is>
      </c>
      <c r="C15" s="18" t="inlineStr">
        <is>
          <t>Luồng chính và thay thế</t>
        </is>
      </c>
      <c r="D15" s="18" t="inlineStr">
        <is>
          <t>Báo cáo pending vừa tạo ở TC-NV-09 (đề tài 1, GVHD gv_nguyen_van_a)</t>
        </is>
      </c>
      <c r="E15" s="18" t="inlineStr">
        <is>
          <t>(a) POST /bao-cao-moc/{id}/yeu-cau-bo-sung không có nhan_xet_gv; (b) có nhan_xet_gv; (c) sv_tran_van_b nộp lại POST /bao-cao-moc/{id} (multipart tep); (d) GVHD POST /bao-cao-moc/{id}/duyet</t>
        </is>
      </c>
      <c r="F15" s="18" t="inlineStr">
        <is>
          <t>(a): 422. (b): 200, revision_requested. (c): 201, tạo bản ghi mới ở pending, bản cũ giữ revision_requested và nhận xét; nộp lại từ bản cũ lần nữa: 422. (d): GVHD duyệt bản mới: 200, approved</t>
        </is>
      </c>
      <c r="G15" s="18" t="inlineStr">
        <is>
          <t>Máy cục bộ, 01/10/2026: (a) 422 VALIDATION_FAILED; (b) 200, revision_requested; (c) nộp lại: 201, bản ghi mới 80 pending, bản cũ 78 vẫn revision_requested; nộp lại từ bản cũ lần nữa: 422 INVALID_TRANSITION; (d) duyệt bản 80: 200, approved
Web, 01/10/2026: (a) 422 VALIDATION_FAILED; (b) 200, revision_requested; (c) nộp lại: 201, bản ghi mới 80 pending, bản cũ 78 vẫn revision_requested; nộp lại từ bản cũ lần nữa: 422 INVALID_TRANSITION; (d) duyệt bản 80: 200, approved</t>
        </is>
      </c>
      <c r="H15" s="18" t="inlineStr">
        <is>
          <t>Đạt</t>
        </is>
      </c>
    </row>
    <row r="16">
      <c r="A16" s="18" t="inlineStr">
        <is>
          <t>TC-NV-14</t>
        </is>
      </c>
      <c r="B16" s="18" t="inlineStr">
        <is>
          <t>L2 · UC04</t>
        </is>
      </c>
      <c r="C16" s="18" t="inlineStr">
        <is>
          <t>Ngoại lệ – chuyển trạng thái sai</t>
        </is>
      </c>
      <c r="D16" s="18" t="inlineStr">
        <is>
          <t>Báo cáo 1 đang approved</t>
        </is>
      </c>
      <c r="E16" s="18" t="inlineStr">
        <is>
          <t>GVHD gọi lại /bao-cao-moc/1/duyet và /yeu-cau-bo-sung; sinh viên nộp lại POST /bao-cao-moc/1</t>
        </is>
      </c>
      <c r="F16" s="18" t="inlineStr">
        <is>
          <t>422 INVALID_TRANSITION; trạng thái giữ nguyên approved, không tạo bản ghi mới</t>
        </is>
      </c>
      <c r="G16" s="18" t="inlineStr">
        <is>
          <t>Máy cục bộ, 01/10/2026: /duyet: 422 INVALID_TRANSITION; /yeu-cau-bo-sung: 422 INVALID_TRANSITION; nộp lại: 422 INVALID_TRANSITION; báo cáo 1 vẫn approved, bản ghi 80 → 80
Web, 01/10/2026: /duyet: 422 INVALID_TRANSITION; /yeu-cau-bo-sung: 422 INVALID_TRANSITION; nộp lại: 422 INVALID_TRANSITION; báo cáo 1 vẫn approved</t>
        </is>
      </c>
      <c r="H16" s="18" t="inlineStr">
        <is>
          <t>Đạt</t>
        </is>
      </c>
    </row>
    <row r="17">
      <c r="A17" s="18" t="inlineStr">
        <is>
          <t>TC-NV-15</t>
        </is>
      </c>
      <c r="B17" s="18" t="inlineStr">
        <is>
          <t>L1</t>
        </is>
      </c>
      <c r="C17" s="18" t="inlineStr">
        <is>
          <t>Giao dịch – hoàn nguyên</t>
        </is>
      </c>
      <c r="D17" s="18" t="inlineStr">
        <is>
          <t>CSDL cục bộ đã nạp dữ liệu mẫu mở rộng; đề tài 42 pending, GVHD gv_nguyen_thi_hanh</t>
        </is>
      </c>
      <c r="E17" s="18" t="inlineStr">
        <is>
          <t>Tạm đổi tên bảng ghi phụ của thao tác duyệt (ví dụ RENAME TABLE thong_bao TO thong_bao_tam) để bước ghi thứ hai lỗi; GVHD gọi /duyet; đổi tên bảng lại</t>
        </is>
      </c>
      <c r="F17" s="18" t="inlineStr">
        <is>
          <t>500; SELECT trang_thai vẫn pending; không có dòng nhật ký APPROVE_TOPIC dở dang</t>
        </is>
      </c>
      <c r="G17" s="18" t="inlineStr">
        <is>
          <t>Máy cục bộ, 01/10/2026: 500; đề tài 42 vẫn pending; nhật ký 308 → 308, không có dòng APPROVE_TOPIC cho đề tài 42
Web: không chạy (phải đổi tên bảng CSDL nên chỉ chạy trên máy cục bộ)</t>
        </is>
      </c>
      <c r="H17" s="18" t="inlineStr">
        <is>
          <t>Đạt</t>
        </is>
      </c>
    </row>
    <row r="18">
      <c r="A18" s="18" t="inlineStr">
        <is>
          <t>TC-NV-16</t>
        </is>
      </c>
      <c r="B18" s="18" t="inlineStr">
        <is>
          <t>L2</t>
        </is>
      </c>
      <c r="C18" s="18" t="inlineStr">
        <is>
          <t>Giao dịch – hoàn nguyên kèm tệp</t>
        </is>
      </c>
      <c r="D18" s="18" t="inlineStr">
        <is>
          <t>Như TC-NV-15; đề tài 1, mốc 3 còn hạn nộp</t>
        </is>
      </c>
      <c r="E18" s="18" t="inlineStr">
        <is>
          <t>Tạm đổi tên bảng nhat_ky_he_thong (ghi sau bao_cao_moc); sv_tran_van_b nộp báo cáo hợp lệ vào mốc 5; đổi tên bảng lại</t>
        </is>
      </c>
      <c r="F18" s="18" t="inlineStr">
        <is>
          <t>500; số bản ghi bao_cao_moc không tăng; tệp vừa lưu vào writable/uploads/bao_cao đã bị xóa, không còn tệp mồ côi</t>
        </is>
      </c>
      <c r="G18" s="18" t="inlineStr">
        <is>
          <t>Máy cục bộ, 01/10/2026: 500; bản ghi bao_cao_moc 80 → 80; tệp trong writable/uploads/bao_cao 3 → 3 (tệp vừa lưu đã bị xóa)
Web: không chạy (phải đổi tên bảng CSDL nên chỉ chạy trên máy cục bộ)</t>
        </is>
      </c>
      <c r="H18" s="18" t="inlineStr">
        <is>
          <t>Đạt</t>
        </is>
      </c>
    </row>
    <row r="19">
      <c r="A19" s="18" t="inlineStr">
        <is>
          <t>TC-NV-17</t>
        </is>
      </c>
      <c r="B19" s="18" t="inlineStr">
        <is>
          <t>Hồi quy Buổi 4</t>
        </is>
      </c>
      <c r="C19" s="18" t="inlineStr">
        <is>
          <t>Hồi quy</t>
        </is>
      </c>
      <c r="D19" s="18" t="inlineStr">
        <is>
          <t>Hệ thống trực tuyến sau khi phát hành bản Buổi 5</t>
        </is>
      </c>
      <c r="E19" s="18" t="inlineStr">
        <is>
          <t>Chạy lại TC-DT-01, TC-DT-09; khách gọi GET /api/v1/nguoi-dung/toi; sinh viên gọi F1.6; kiểm tra mã băm và cookie phiên</t>
        </is>
      </c>
      <c r="F19" s="18" t="inlineStr">
        <is>
          <t>Giữ nguyên kết quả Buổi 4: 200 / 403, vai trò sinh viên, 401, 403, $2y$12$, HttpOnly + Secure + SameSite=Lax</t>
        </is>
      </c>
      <c r="G19" s="18" t="inlineStr">
        <is>
          <t>Máy cục bộ, 01/10/2026: Cục bộ: khách gọi /nguoi-dung/toi 401; TC-DT-01: sinh viên nhóm khác 403, chủ đề tài 200; TC-DT-09: đăng ký kèm vai trò thư ký 201, vai trò tạo ra SINH_VIEN; mã băm $2y$12$. Cookie HttpOnly, Secure chạy lại trên web
Web, 01/10/2026: khách gọi /nguoi-dung/toi 401; TC-DT-01: sinh viên nhóm khác 403, chủ đề tài 200; TC-DT-09: đăng ký kèm vai trò thư ký 201, vai trò tạo ra sinh_vien; mã băm $2y$12$; document.cookie không đọc được ci_session; DevTools → Application → Cookies: ci_session HttpOnly ✓, Secure ✓, SameSite Lax; trang chạy https</t>
        </is>
      </c>
      <c r="H19" s="18" t="inlineStr">
        <is>
          <t>Đạt</t>
        </is>
      </c>
    </row>
    <row r="20">
      <c r="A20" s="18" t="inlineStr">
        <is>
          <t>TC-NV-18</t>
        </is>
      </c>
      <c r="B20" s="18" t="inlineStr">
        <is>
          <t>L1 · UC01, UC02 · F2.8</t>
        </is>
      </c>
      <c r="C20" s="18" t="inlineStr">
        <is>
          <t>Luồng chính – phân công GVHD</t>
        </is>
      </c>
      <c r="D20" s="18" t="inlineStr">
        <is>
          <t>sv_chua_co_nhom chưa có đề tài; thukykhoa (thư ký); gv_nguyen_van_a (GVHD, id 2)</t>
        </is>
      </c>
      <c r="E20" s="18" t="inlineStr">
        <is>
          <t>(a) sv_chua_co_nhom POST /api/v1/de-tai (lop_hoc_phan_id = 1); (b) gv_nguyen_van_a POST /api/v1/de-tai/{id}/duyet; (c) thukykhoa PATCH /api/v1/nhom-sinh-vien/{id}/gvhd {"gvhd_id":2}; (d) gv_nguyen_van_a duyệt lại</t>
        </is>
      </c>
      <c r="F20" s="18" t="inlineStr">
        <is>
          <t>(a) 201, pending, gvhd_id NULL; (b) 403 vì chưa được phân công; (c) 200, gvhd_id = 2, GVHD nhận 1 thông báo, nhật ký ASSIGN_SUPERVISOR; (d) 200, approved</t>
        </is>
      </c>
      <c r="G20" s="18" t="inlineStr">
        <is>
          <t>Máy cục bộ, 02/10/2026: (a) 201, pending, gvhd_id = NULL; (b) 403; (c) 200, gvhd_id = 2, thông báo cho GVHD 2: +1, nhật ký ASSIGN_SUPERVISOR: 1 dòng; (d) 200, approved
Web, 02/10/2026: (a) 201, pending, gvhd_id = NULL; (b) 403; (c) 200, gvhd_id = 2, GVHD có thông báo; (d) 200, approved (đề tài thử ID 87)</t>
        </is>
      </c>
      <c r="H20" s="18" t="inlineStr">
        <is>
          <t>Đạt</t>
        </is>
      </c>
    </row>
    <row r="21">
      <c r="A21" s="18" t="inlineStr">
        <is>
          <t>TC-NV-19</t>
        </is>
      </c>
      <c r="B21" s="18" t="inlineStr">
        <is>
          <t>L1 · F2.8</t>
        </is>
      </c>
      <c r="C21" s="18" t="inlineStr">
        <is>
          <t>Ngoại lệ – phân công sai</t>
        </is>
      </c>
      <c r="D21" s="18" t="inlineStr">
        <is>
          <t>Đề tài tạo ở TC-NV-18; tài khoản GVHD gv_moi_thu đang bị khóa (TC-NV-26)</t>
        </is>
      </c>
      <c r="E21" s="18" t="inlineStr">
        <is>
          <t>(a) sinh viên gọi PATCH /nhom-sinh-vien/{id}/gvhd; (b) thư ký gán gvhd_id = 3 (tài khoản sinh viên); (c) đề tài 999999; (d) gán GVHD đang bị khóa cho đề tài 14; (e) phân công lại đề tài TC-NV-18 sau khi đã duyệt</t>
        </is>
      </c>
      <c r="F21" s="18" t="inlineStr">
        <is>
          <t>(a) 403; (b) 422 VALIDATION_FAILED; (c) 404; (d) 422 VALIDATION_FAILED; (e) 422 INVALID_TRANSITION</t>
        </is>
      </c>
      <c r="G21" s="18" t="inlineStr">
        <is>
          <t>Máy cục bộ, 02/10/2026: (a) 403; (b) 422 VALIDATION_FAILED; (c) 404; (d) 422 VALIDATION_FAILED; (e) 422 INVALID_TRANSITION
Web, 02/10/2026: (a) 403; (b) 422 VALIDATION_FAILED; (c) 404; (d) 422 VALIDATION_FAILED; (e) 422 INVALID_TRANSITION</t>
        </is>
      </c>
      <c r="H21" s="18" t="inlineStr">
        <is>
          <t>Đạt</t>
        </is>
      </c>
    </row>
    <row r="22">
      <c r="A22" s="18" t="inlineStr">
        <is>
          <t>TC-NV-20</t>
        </is>
      </c>
      <c r="B22" s="18" t="inlineStr">
        <is>
          <t>Nhóm · F2.10</t>
        </is>
      </c>
      <c r="C22" s="18" t="inlineStr">
        <is>
          <t>Phân quyền trên đối tượng</t>
        </is>
      </c>
      <c r="D22" s="18" t="inlineStr">
        <is>
          <t>Nhóm của đề tài TC-NV-18 (nhóm trưởng sv_chua_co_nhom)</t>
        </is>
      </c>
      <c r="E22" s="18" t="inlineStr">
        <is>
          <t>GET /api/v1/nhom-sinh-vien/{id} lần lượt bằng: nhóm trưởng, sinh viên nhóm khác (sv24100070), GVHD phụ trách, thư ký</t>
        </is>
      </c>
      <c r="F22" s="18" t="inlineStr">
        <is>
          <t>Nhóm trưởng 200 (có GVHD, danh sách thành viên); sinh viên nhóm khác 403; GVHD 403 (ma trận F2.10: Không); thư ký 200</t>
        </is>
      </c>
      <c r="G22" s="18" t="inlineStr">
        <is>
          <t>Máy cục bộ, 02/10/2026: nhóm trưởng 200, GVHD id 2, 1 thành viên; sinh viên nhóm khác 403; GVHD 403; thư ký 200
Web, 02/10/2026: nhóm trưởng 200, GVHD TS. Nguyễn Văn A, 1 thành viên; sinh viên nhóm khác 403; GVHD 403; thư ký 200</t>
        </is>
      </c>
      <c r="H22" s="18" t="inlineStr">
        <is>
          <t>Đạt</t>
        </is>
      </c>
    </row>
    <row r="23">
      <c r="A23" s="18" t="inlineStr">
        <is>
          <t>TC-NV-21</t>
        </is>
      </c>
      <c r="B23" s="18" t="inlineStr">
        <is>
          <t>Nhóm · F2.11</t>
        </is>
      </c>
      <c r="C23" s="18" t="inlineStr">
        <is>
          <t>Luồng chính và ngoại lệ – thêm thành viên</t>
        </is>
      </c>
      <c r="D23" s="18" t="inlineStr">
        <is>
          <t>Nhóm của đề tài TC-NV-18; sinh viên 224 chưa thuộc nhóm nào; sinh viên 3 đang ở đề tài 1</t>
        </is>
      </c>
      <c r="E23" s="18" t="inlineStr">
        <is>
          <t>(a) nhóm trưởng POST /api/v1/nhom-sinh-vien/{id}/thanh-vien {"sinh_vien_id":224}; (b) thêm 224 lần nữa; (c) thêm sinh viên 3; (d) thêm tài khoản GVHD id 2; (e) thành viên 224 (không phải nhóm trưởng) thêm người khác</t>
        </is>
      </c>
      <c r="F23" s="18" t="inlineStr">
        <is>
          <t>(a) 201, nhóm có 2 người; (b) 409 CONFLICT; (c) 422 DA_CO_DE_TAI; (d) 422 VALIDATION_FAILED; (e) 403</t>
        </is>
      </c>
      <c r="G23" s="18" t="inlineStr">
        <is>
          <t>Máy cục bộ, 02/10/2026: (a) 201, nhóm 2 người; (b) 409 CONFLICT; (c) 422 DA_CO_DE_TAI; (d) 422 VALIDATION_FAILED; (e) 403
Web, 02/10/2026: (a) 201, nhóm 2 người; (b) 409 CONFLICT; (c) 422 DA_CO_DE_TAI; (d) 422 VALIDATION_FAILED; (e) 403</t>
        </is>
      </c>
      <c r="H23" s="18" t="inlineStr">
        <is>
          <t>Đạt</t>
        </is>
      </c>
    </row>
    <row r="24">
      <c r="A24" s="18" t="inlineStr">
        <is>
          <t>TC-NV-22</t>
        </is>
      </c>
      <c r="B24" s="18" t="inlineStr">
        <is>
          <t>Nhóm · F2.11</t>
        </is>
      </c>
      <c r="C24" s="18" t="inlineStr">
        <is>
          <t>Ngoại lệ – xóa thành viên</t>
        </is>
      </c>
      <c r="D24" s="18" t="inlineStr">
        <is>
          <t>Nhóm có nhóm trưởng 220 và thành viên 224 (sau TC-NV-21)</t>
        </is>
      </c>
      <c r="E24" s="18" t="inlineStr">
        <is>
          <t>(a) DELETE /api/v1/nhom-sinh-vien/{id}/thanh-vien/220 (nhóm trưởng); (b) xóa 224; (c) xóa 224 lần nữa</t>
        </is>
      </c>
      <c r="F24" s="18" t="inlineStr">
        <is>
          <t>(a) 422 INVALID_TRANSITION, không xóa nhóm trưởng; (b) 204; (c) 404</t>
        </is>
      </c>
      <c r="G24" s="18" t="inlineStr">
        <is>
          <t>Máy cục bộ, 02/10/2026: (a) 422 INVALID_TRANSITION; (b) 204; (c) 404
Web, 02/10/2026: (a) 422 INVALID_TRANSITION; (b) 204; (c) 404</t>
        </is>
      </c>
      <c r="H24" s="18" t="inlineStr">
        <is>
          <t>Đạt</t>
        </is>
      </c>
    </row>
    <row r="25">
      <c r="A25" s="18" t="inlineStr">
        <is>
          <t>TC-NV-23</t>
        </is>
      </c>
      <c r="B25" s="18" t="inlineStr">
        <is>
          <t>Lớp học phần · F3.1, F3.2</t>
        </is>
      </c>
      <c r="C25" s="18" t="inlineStr">
        <is>
          <t>Thao tác dữ liệu và ràng buộc</t>
        </is>
      </c>
      <c r="D25" s="18" t="inlineStr">
        <is>
          <t>Đăng nhập thukykhoa; lớp 1 đang có đề tài</t>
        </is>
      </c>
      <c r="E25" s="18" t="inlineStr">
        <is>
          <t>(a) sinh viên POST /api/v1/lop-hoc-phan; (b) thư ký gửi hoc_ky "HK9"; (c) tạo lớp THU01, hoc_ky "hk1"; (d) tạo trùng ma_lop THU01; (e) PATCH ten_lop; (f) sinh viên GET /api/v1/lop-hoc-phan; (g) DELETE lớp 1; (h) DELETE lớp THU01 (sau khi xóa mốc ở TC-NV-24)</t>
        </is>
      </c>
      <c r="F25" s="18" t="inlineStr">
        <is>
          <t>(a) 403; (b) 422; (c) 201, hoc_ky lưu HK1; (d) 422; (e) 200; (f) 200; (g) 409 CONFLICT vì còn đề tài; (h) 204</t>
        </is>
      </c>
      <c r="G25" s="18" t="inlineStr">
        <is>
          <t>Máy cục bộ, 02/10/2026: (a) 403; (b) 422 VALIDATION_FAILED; (c) 201, HK1; (d) 422 VALIDATION_FAILED; (e) 200; (f) 200; (g) 409 CONFLICT; (h) 204
Web, 02/10/2026: (a) 403; (b) 422 VALIDATION_FAILED; (c) 201, HK1; (d) 422 VALIDATION_FAILED; (e) 200; (f) 200; (g) 409 CONFLICT; (h) 204</t>
        </is>
      </c>
      <c r="H25" s="18" t="inlineStr">
        <is>
          <t>Đạt</t>
        </is>
      </c>
    </row>
    <row r="26">
      <c r="A26" s="18" t="inlineStr">
        <is>
          <t>TC-NV-24</t>
        </is>
      </c>
      <c r="B26" s="18" t="inlineStr">
        <is>
          <t>Mốc · F3.1 – F3.3</t>
        </is>
      </c>
      <c r="C26" s="18" t="inlineStr">
        <is>
          <t>Thao tác dữ liệu và ràng buộc</t>
        </is>
      </c>
      <c r="D26" s="18" t="inlineStr">
        <is>
          <t>Lớp THU01 vừa tạo ở TC-NV-23; mốc 1 đã có bản nộp</t>
        </is>
      </c>
      <c r="E26" s="18" t="inlineStr">
        <is>
          <t>(a) POST /api/v1/moc-thoi-gian với lop_hoc_phan_id 999999; (b) han_nop "01/12/2026"; (c) tạo mốc, han_nop "2026-12-01T23:59" (ô datetime-local); (d) GVHD tạo mốc; (e) sinh viên GET ?lop_hoc_phan_id={lop}; (f) GET thiếu lop_hoc_phan_id; (g) PATCH han_nop; (h) DELETE mốc 1; (i) DELETE mốc mới</t>
        </is>
      </c>
      <c r="F26" s="18" t="inlineStr">
        <is>
          <t>(a) 422; (b) 422; (c) 201, han_nop lưu 2026-12-01 23:59:00; (d) 403; (e) 200, 1 mốc; (f) 422; (g) 200; (h) 409 CONFLICT; (i) 204</t>
        </is>
      </c>
      <c r="G26" s="18" t="inlineStr">
        <is>
          <t>Máy cục bộ, 02/10/2026: (a) 422 VALIDATION_FAILED; (b) 422 VALIDATION_FAILED; (c) 201, 2026-12-01 23:59:00; (d) 403; (e) 200, 1 mốc; (f) 422; (g) 200, 2026-12-05 12:00:00; (h) 409 CONFLICT; (i) 204
Web, 02/10/2026: (a) 422 VALIDATION_FAILED; (b) 422 VALIDATION_FAILED; (c) 201, 2026-12-01 23:59:00; (d) 403; (e) 200, 1 mốc; (f) 422; (g) 200, 2026-12-05 12:00:00; (h) 409 CONFLICT; (i) 204</t>
        </is>
      </c>
      <c r="H26" s="18" t="inlineStr">
        <is>
          <t>Đạt</t>
        </is>
      </c>
    </row>
    <row r="27">
      <c r="A27" s="18" t="inlineStr">
        <is>
          <t>TC-NV-25</t>
        </is>
      </c>
      <c r="B27" s="18" t="inlineStr">
        <is>
          <t>Tài khoản · F1.6</t>
        </is>
      </c>
      <c r="C27" s="18" t="inlineStr">
        <is>
          <t>Phân quyền và luồng chính</t>
        </is>
      </c>
      <c r="D27" s="18" t="inlineStr">
        <is>
          <t>Đăng nhập thukykhoa; sinh viên sv_chua_co_nhom</t>
        </is>
      </c>
      <c r="E27" s="18" t="inlineStr">
        <is>
          <t>(a) sinh viên GET /api/v1/nguoi-dung; (b) thư ký GET ?vai_tro=GVHD; (c) ?q=thukykhoa; (d) ?vai_tro=ADMIN; (e) POST /api/v1/nguoi-dung tạo gv_moi_thu, vai_tro "gvhd"; (f) tạo trùng ten_dang_nhap</t>
        </is>
      </c>
      <c r="F27" s="18" t="inlineStr">
        <is>
          <t>(a) 403; (b) 200, mọi dòng đều có vai trò GVHD; (c) 200, 1 kết quả; (d) 422; (e) 201, vai_tro [GVHD], phản hồi không có mat_khau_hash; (f) 422</t>
        </is>
      </c>
      <c r="G27" s="18" t="inlineStr">
        <is>
          <t>Máy cục bộ, 02/10/2026: (a) 403; (b) 200, 9 tài khoản, đều có GVHD; (c) 200, 1 kết quả; (d) 422 VALIDATION_FAILED; (e) 201, vai_tro ['GVHD'], không có mat_khau_hash; (f) 422 VALIDATION_FAILED
Web, 02/10/2026: (a) 403; (b) 200, 9 tài khoản, đều có GVHD; (c) 200, 1 kết quả; (d) 422 VALIDATION_FAILED; (e) 201, vai_tro [GVHD], không có mat_khau_hash; (f) 422 VALIDATION_FAILED (tài khoản thử mã 225)</t>
        </is>
      </c>
      <c r="H27" s="18" t="inlineStr">
        <is>
          <t>Đạt</t>
        </is>
      </c>
    </row>
    <row r="28">
      <c r="A28" s="18" t="inlineStr">
        <is>
          <t>TC-NV-26</t>
        </is>
      </c>
      <c r="B28" s="18" t="inlineStr">
        <is>
          <t>Tài khoản · F1.6, F1.2</t>
        </is>
      </c>
      <c r="C28" s="18" t="inlineStr">
        <is>
          <t>Khóa / mở, đổi vai trò</t>
        </is>
      </c>
      <c r="D28" s="18" t="inlineStr">
        <is>
          <t>Tài khoản gv_moi_thu tạo ở TC-NV-25</t>
        </is>
      </c>
      <c r="E28" s="18" t="inlineStr">
        <is>
          <t>(a) PATCH /api/v1/nguoi-dung/{id}/trang-thai {"khoa":true}; (b) gv_moi_thu đăng nhập đúng mật khẩu; (c) đăng nhập sai mật khẩu; (d) {"khoa":false}; (e) đăng nhập lại; (f) {"vai_tro":"HOI_DONG"}; (g) {"khoa":"co"}; (h) thư ký tự khóa mình; (i) thư ký tự đổi vai trò sang GVHD</t>
        </is>
      </c>
      <c r="F28" s="18" t="inlineStr">
        <is>
          <t>(a) 200, bi_khoa true; (b) 403 ACCOUNT_LOCKED; (c) 401, không lộ tài khoản bị khóa; (d) 200; (e) 200; (f) 200, [HOI_DONG]; (g) 422; (h) 422; (i) 422</t>
        </is>
      </c>
      <c r="G28" s="18" t="inlineStr">
        <is>
          <t>Máy cục bộ, 02/10/2026: (a) 200, bi_khoa True; (b) 403 ACCOUNT_LOCKED; (c) 401 UNAUTHENTICATED; (d) 200, False; (e) 200; (f) 200, ['HOI_DONG']; (g) 422 VALIDATION_FAILED; (h) 422 INVALID_TRANSITION; (i) 422 INVALID_TRANSITION
Web, 02/10/2026: (a) 200, bi_khoa true; (b) 403 ACCOUNT_LOCKED; (c) 401 UNAUTHENTICATED; (d) 200, bi_khoa false; (e) 200; (f) 200, [HOI_DONG]; (g) 422 VALIDATION_FAILED; (h) 422 INVALID_TRANSITION; (i) 422 INVALID_TRANSITION</t>
        </is>
      </c>
      <c r="H28" s="18" t="inlineStr">
        <is>
          <t>Đạt</t>
        </is>
      </c>
    </row>
    <row r="29">
      <c r="A29" s="18" t="inlineStr">
        <is>
          <t>TC-NV-27</t>
        </is>
      </c>
      <c r="B29" s="18" t="inlineStr">
        <is>
          <t>Hồ sơ · F1.4, F1.5</t>
        </is>
      </c>
      <c r="C29" s="18" t="inlineStr">
        <is>
          <t>Luồng chính và ngoại lệ</t>
        </is>
      </c>
      <c r="D29" s="18" t="inlineStr">
        <is>
          <t>Đăng nhập sv24100070</t>
        </is>
      </c>
      <c r="E29" s="18" t="inlineStr">
        <is>
          <t>(a) PATCH /api/v1/nguoi-dung/toi {"ho_ten","so_dien_thoai"}; (b) chỉ gửi {"vai_tro":"THU_KY_KHOA"}; (c) email của thukykhoa; (d) PATCH /api/v1/nguoi-dung/toi/mat-khau sai mật khẩu cũ; (e) đổi đúng; (f) đăng nhập bằng mật khẩu mới</t>
        </is>
      </c>
      <c r="F29" s="18" t="inlineStr">
        <is>
          <t>(a) 200; (b) 422, không đổi được vai trò; (c) 422 email đã dùng; (d) 422; (e) 200; (f) 200</t>
        </is>
      </c>
      <c r="G29" s="18" t="inlineStr">
        <is>
          <t>Máy cục bộ, 02/10/2026: (a) 200, họ tên mới; (b) 422 VALIDATION_FAILED; (c) 422 (Email da duoc su dung); (d) 422 VALIDATION_FAILED; (e) 200; (f) 200
Web, 02/10/2026: (a) 200, họ tên mới; (b) 422 VALIDATION_FAILED; (c) 422 (Email da duoc su dung); (d) 422 VALIDATION_FAILED; (e) 200; (f) 200; đã trả lại mật khẩu, họ tên cũ: 200, 200</t>
        </is>
      </c>
      <c r="H29" s="18" t="inlineStr">
        <is>
          <t>Đạt</t>
        </is>
      </c>
    </row>
    <row r="30">
      <c r="A30" s="18" t="inlineStr">
        <is>
          <t>TC-NV-28</t>
        </is>
      </c>
      <c r="B30" s="18" t="inlineStr">
        <is>
          <t>Thông báo · F6.1, F6.2</t>
        </is>
      </c>
      <c r="C30" s="18" t="inlineStr">
        <is>
          <t>Phân quyền trên đối tượng</t>
        </is>
      </c>
      <c r="D30" s="18" t="inlineStr">
        <is>
          <t>sv_chua_co_nhom đã nhận thông báo phân công GVHD (TC-NV-18)</t>
        </is>
      </c>
      <c r="E30" s="18" t="inlineStr">
        <is>
          <t>(a) GET /api/v1/thong-bao; (b) PATCH /api/v1/thong-bao/{id}/da-doc thông báo của mình; (c) sv24100070 đánh dấu thông báo đó; (d) khách GET /api/v1/thong-bao</t>
        </is>
      </c>
      <c r="F30" s="18" t="inlineStr">
        <is>
          <t>(a) 200, có thông báo phân công GVHD; (b) 200, da_doc = 1; (c) 404, không lộ thông báo của người khác; (d) 401</t>
        </is>
      </c>
      <c r="G30" s="18" t="inlineStr">
        <is>
          <t>Máy cục bộ, 02/10/2026: (a) 200, có thông báo phân công; (b) 200, da_doc = 1; (c) 404; (d) 401
Web, 02/10/2026: (a) 200, có thông báo phân công; (b) 200, da_doc = 1; (c) 404; (d) 401</t>
        </is>
      </c>
      <c r="H30" s="18" t="inlineStr">
        <is>
          <t>Đạt</t>
        </is>
      </c>
    </row>
    <row r="31">
      <c r="A31" s="18" t="inlineStr">
        <is>
          <t>TC-NV-29</t>
        </is>
      </c>
      <c r="B31" s="18" t="inlineStr">
        <is>
          <t>L2 · F3.6</t>
        </is>
      </c>
      <c r="C31" s="18" t="inlineStr">
        <is>
          <t>Phân quyền trên đối tượng</t>
        </is>
      </c>
      <c r="D31" s="18" t="inlineStr">
        <is>
          <t>Đề tài 1 có báo cáo; chủ đề tài sv_tran_van_b</t>
        </is>
      </c>
      <c r="E31" s="18" t="inlineStr">
        <is>
          <t>GET /api/v1/de-tai/1/bao-cao-moc bằng chủ đề tài và bằng sinh viên nhóm khác</t>
        </is>
      </c>
      <c r="F31" s="18" t="inlineStr">
        <is>
          <t>Chủ đề tài 200, phản hồi không có duong_dan_tep; sinh viên nhóm khác 403</t>
        </is>
      </c>
      <c r="G31" s="18" t="inlineStr">
        <is>
          <t>Máy cục bộ, 02/10/2026: chủ đề tài 200, không có duong_dan_tep; sinh viên nhóm khác 403
Web, 02/10/2026: chủ đề tài 200, 4 bản nộp, không có duong_dan_tep; sinh viên nhóm khác 403</t>
        </is>
      </c>
      <c r="H31" s="18" t="inlineStr">
        <is>
          <t>Đạt</t>
        </is>
      </c>
    </row>
    <row r="32">
      <c r="A32" s="18" t="inlineStr">
        <is>
          <t>TC-NV-30</t>
        </is>
      </c>
      <c r="B32" s="18" t="inlineStr">
        <is>
          <t>Hệ thống</t>
        </is>
      </c>
      <c r="C32" s="18" t="inlineStr">
        <is>
          <t>Múi giờ</t>
        </is>
      </c>
      <c r="D32" s="18" t="inlineStr">
        <is>
          <t>MariaDB chạy --default-time-zone=-07:00 (giống máy chủ InfinityFree)</t>
        </is>
      </c>
      <c r="E32" s="18" t="inlineStr">
        <is>
          <t>(a) GET /api/v1/health; (b) thư ký tạo một lớp học phần, đọc created_at trong phản hồi; so với giờ Việt Nam lúc chạy</t>
        </is>
      </c>
      <c r="F32" s="18" t="inlineStr">
        <is>
          <t>(a) time kết thúc bằng +07:00; (b) created_at đúng giờ Việt Nam dù CSDL chạy UTC-7</t>
        </is>
      </c>
      <c r="G32" s="18" t="inlineStr">
        <is>
          <t>Máy cục bộ, 02/10/2026: (a) +07:00; (b) NOW() của CSDL là giờ UTC-7, created_at trả về 2026-10-02 00 giờ = giờ Việt Nam lúc chạy
Web, 02/10/2026: (a) time = 2026-10-02T01:20:49+07:00; (b) created_at lớp vừa tạo 2026-10-02 01:20:41, giờ Việt Nam lúc chạy 2026-10-02 01 giờ (CSDL InfinityFree chạy UTC-7)</t>
        </is>
      </c>
      <c r="H32" s="18" t="inlineStr">
        <is>
          <t>Đạt</t>
        </is>
      </c>
    </row>
    <row r="33">
      <c r="A33" s="18" t="inlineStr">
        <is>
          <t>TC-NV-31</t>
        </is>
      </c>
      <c r="B33" s="18" t="inlineStr">
        <is>
          <t>L1, L2</t>
        </is>
      </c>
      <c r="C33" s="18" t="inlineStr">
        <is>
          <t>Ngoại lệ – lỗi trước đây trả sai</t>
        </is>
      </c>
      <c r="D33" s="18" t="inlineStr">
        <is>
          <t>sv_hoi_quy_b5 chưa có đề tài; sv_tran_van_b chủ đề tài 1; PHP upload_max_filesize = 10M</t>
        </is>
      </c>
      <c r="E33" s="18" t="inlineStr">
        <is>
          <t>(a) POST /api/v1/de-tai với lop_hoc_phan_id = 999999; (b) nộp tệp 11 MB vào mốc 5 của đề tài 1</t>
        </is>
      </c>
      <c r="F33" s="18" t="inlineStr">
        <is>
          <t>(a) 422 VALIDATION_FAILED (trước đây lỗi 500); (b) 422 "Dung luong toi da 5 MB" (trước đây báo "Bat buoc gui tep")</t>
        </is>
      </c>
      <c r="G33" s="18" t="inlineStr">
        <is>
          <t>Máy cục bộ, 02/10/2026: (a) 422 VALIDATION_FAILED; (b) 422 (Dung luong toi da 5 MB)
Web, 02/10/2026: (a) 422 VALIDATION_FAILED (Lop hoc phan khong ton tai); (b) tệp 11 MB: chỉ chạy trên máy cục bộ</t>
        </is>
      </c>
      <c r="H33" s="18" t="inlineStr">
        <is>
          <t>Đạt</t>
        </is>
      </c>
    </row>
    <row r="34">
      <c r="A34" s="18" t="inlineStr">
        <is>
          <t>TC-NV-32</t>
        </is>
      </c>
      <c r="B34" s="18" t="inlineStr">
        <is>
          <t>Giao diện · L1</t>
        </is>
      </c>
      <c r="C34" s="18" t="inlineStr">
        <is>
          <t>Luồng chính đầu – cuối qua giao diện</t>
        </is>
      </c>
      <c r="D34" s="18" t="inlineStr">
        <is>
          <t>Trình duyệt Chrome; các tài khoản sv_hoi_quy_b5, thukykhoa, gv_nguyen_van_a, hd_pham_van_d</t>
        </is>
      </c>
      <c r="E34" s="18" t="inlineStr">
        <is>
          <t>(a) Mở /; (b) sinh viên đề xuất đề tài bằng form ở trang chủ; (c) thư ký chọn GVHD TS. Nguyễn Văn A, bấm Phân công; (d) GVHD bấm Duyệt; (e) sinh viên mở lại trang chủ, mở Báo cáo theo mốc; (f) hội đồng đăng nhập</t>
        </is>
      </c>
      <c r="F34" s="18" t="inlineStr">
        <is>
          <t>(a) Trang đăng nhập, không còn trang chào CodeIgniter; (b)–(e) mỗi bước cập nhật đúng trạng thái, GVHD và sinh viên có thông báo, có ô chọn mốc và nút Nộp báo cáo; (f) thấy khối nghiệm thu; không có lỗi JS</t>
        </is>
      </c>
      <c r="G34" s="18" t="inlineStr">
        <is>
          <t>Máy cục bộ, 02/10/2026: (a) trang đăng nhập; (b) đề tài Chờ duyệt, chờ phân công GVHD; (c) GVHD hiện tại: TS. Nguyễn Văn A; (d) Đã duyệt, GVHD có thông báo; (e) sinh viên thấy Đã duyệt, thông báo kết quả, ô chọn mốc và nút Nộp; (f) thấy khối nghiệm thu; 18/18 bước, không lỗi JS
Web, 02/10/2026: (a) / là trang đăng nhập, không còn trang chào CodeIgniter</t>
        </is>
      </c>
      <c r="H34" s="18" t="inlineStr">
        <is>
          <t>Đạt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30" customWidth="1" min="4" max="4"/>
    <col width="52" customWidth="1" min="5" max="5"/>
    <col width="46" customWidth="1" min="6" max="6"/>
    <col width="16" customWidth="1" min="7" max="7"/>
    <col width="8" customWidth="1" min="8" max="8"/>
  </cols>
  <sheetData>
    <row r="1">
      <c r="A1" s="1" t="inlineStr">
        <is>
          <t>CA KIỂM THỬ TRUY CẬP ĐỒNG THỜI, BẤT BIẾN DỮ LIỆU VÀ MÁY TRẠNG THÁI – BUỔI 6</t>
        </is>
      </c>
    </row>
    <row r="2">
      <c r="A2" s="4" t="inlineStr">
        <is>
          <t>Mã ca</t>
        </is>
      </c>
      <c r="B2" s="4" t="inlineStr">
        <is>
          <t>Luồng / UC</t>
        </is>
      </c>
      <c r="C2" s="4" t="inlineStr">
        <is>
          <t>Loại</t>
        </is>
      </c>
      <c r="D2" s="4" t="inlineStr">
        <is>
          <t>Tiền đề</t>
        </is>
      </c>
      <c r="E2" s="4" t="inlineStr">
        <is>
          <t>Bước thực hiện</t>
        </is>
      </c>
      <c r="F2" s="4" t="inlineStr">
        <is>
          <t>Kết quả mong đợi</t>
        </is>
      </c>
      <c r="G2" s="4" t="inlineStr">
        <is>
          <t>Kết quả thực tế</t>
        </is>
      </c>
      <c r="H2" s="4" t="inlineStr">
        <is>
          <t>KL</t>
        </is>
      </c>
    </row>
    <row r="3">
      <c r="A3" s="18" t="inlineStr">
        <is>
          <t>TC-B6-01</t>
        </is>
      </c>
      <c r="B3" s="18" t="inlineStr">
        <is>
          <t>L1 · UC02 · T3</t>
        </is>
      </c>
      <c r="C3" s="18" t="inlineStr">
        <is>
          <t>Truy cập đồng thời</t>
        </is>
      </c>
      <c r="D3" s="18" t="inlineStr">
        <is>
          <t>Đề tài 'DEMO-DONG-THOI: de tai cho duyet' (seed_buoi6.sql) đang pending, đã gán GVHD gv_nguyen_van_a; đăng nhập gv_nguyen_van_a</t>
        </is>
      </c>
      <c r="E3" s="18" t="inlineStr">
        <is>
          <t>Gửi 50 yêu cầu POST /api/v1/de-tai/{id}/duyet cùng lúc (Promise.all), cùng một phiên đăng nhập</t>
        </is>
      </c>
      <c r="F3" s="18" t="inlineStr">
        <is>
          <t>Đúng 1 yêu cầu 200; 49 yêu cầu 422 INVALID_TRANSITION; đề tài approved; lịch sử chỉ có 1 dòng APPROVE_TOPIC</t>
        </is>
      </c>
      <c r="G3" s="18" t="inlineStr">
        <is>
          <t>Máy cục bộ, 03/10/2026: Apache XAMPP (150 luồng), MariaDB chạy giờ UTC-7 như InfinityFree. 1 × 200, 49 × 422 INVALID_TRANSITION; trạng thái approved; nhật ký APPROVE_TOPIC: 1 dòng; tổng 1,3 s (trước khi đóng phiên sớm 3,0 s vì khóa tệp phiên)
Web, 03/10/2026: đề tài DEMO ID 88; 1 × 200 (yêu cầu số 1), 49 × 422 INVALID_TRANSITION; trạng thái approved; lịch sử APPROVE_TOPIC: 1 dòng; tổng 4 197 ms (Ảnh 31)</t>
        </is>
      </c>
      <c r="H3" s="18" t="inlineStr">
        <is>
          <t>Đạt</t>
        </is>
      </c>
    </row>
    <row r="4">
      <c r="A4" s="18" t="inlineStr">
        <is>
          <t>TC-B6-02</t>
        </is>
      </c>
      <c r="B4" s="18" t="inlineStr">
        <is>
          <t>L2 · UC03 · T3</t>
        </is>
      </c>
      <c r="C4" s="18" t="inlineStr">
        <is>
          <t>Truy cập đồng thời</t>
        </is>
      </c>
      <c r="D4" s="18" t="inlineStr">
        <is>
          <t>Đề tài DEMO vừa được duyệt ở TC-B6-01, chưa có bản nộp nào; đăng nhập nhóm trưởng sv_demo_dong_thoi_1; mốc 3 của lớp còn hạn</t>
        </is>
      </c>
      <c r="E4" s="18" t="inlineStr">
        <is>
          <t>Gửi 50 yêu cầu nộp báo cáo (multipart, tệp PDF 200 KB) vào cùng mốc cùng lúc</t>
        </is>
      </c>
      <c r="F4" s="18" t="inlineStr">
        <is>
          <t>Đúng 1 yêu cầu 201; 49 yêu cầu 409 CONFLICT; chỉ 1 bản ghi bao_cao_moc; chỉ 1 tệp được lưu, không có tệp mồ côi</t>
        </is>
      </c>
      <c r="G4" s="18" t="inlineStr">
        <is>
          <t>Máy cục bộ, 03/10/2026: Apache XAMPP (150 luồng), MariaDB chạy giờ UTC-7 như InfinityFree. 1 × 201, 49 × 409 CONFLICT; bản ghi của mốc 0 → 1; tệp trong uploads/bao_cao +1; nhật ký SUBMIT_REPORT: 1 dòng
Web, 03/10/2026: 1 × 201, 49 × 409 CONFLICT; số bản nộp của mốc: 1; tổng 6 733 ms (Ảnh 31)</t>
        </is>
      </c>
      <c r="H4" s="18" t="inlineStr">
        <is>
          <t>Đạt</t>
        </is>
      </c>
    </row>
    <row r="5">
      <c r="A5" s="18" t="inlineStr">
        <is>
          <t>TC-B6-03</t>
        </is>
      </c>
      <c r="B5" s="18" t="inlineStr">
        <is>
          <t>CSDL · T3</t>
        </is>
      </c>
      <c r="C5" s="18" t="inlineStr">
        <is>
          <t>Bất biến – chuyển trạng thái sai</t>
        </is>
      </c>
      <c r="D5" s="18" t="inlineStr">
        <is>
          <t>Đã chạy cap_nhat_csdl_buoi6.sql (bảng chuyen_trang_thai_hop_le, trigger); chạy trong giao dịch rồi ROLLBACK</t>
        </is>
      </c>
      <c r="E5" s="18" t="inlineStr">
        <is>
          <t>(a) UPDATE de_tai SET trang_thai='pending' WHERE trang_thai='approved'; (b) UPDATE bao_cao_moc SET trang_thai='pending' WHERE trang_thai='approved'</t>
        </is>
      </c>
      <c r="F5" s="18" t="inlineStr">
        <is>
          <t>Cả hai bị CSDL chặn dù không đi qua ứng dụng</t>
        </is>
      </c>
      <c r="G5" s="18" t="inlineStr">
        <is>
          <t>Máy cục bộ, 03/10/2026: (a) ERROR 1644: Chuyen trang thai de tai khong hop le; (b) ERROR 1644: Chuyen trang thai bao cao khong hop le
Web, 03/10/2026: InfinityFree không cho tạo trigger (#1142 TRIGGER command denied) nên phần trigger chỉ kiểm chứng trên máy cục bộ; trên web, trạng thái ngoài danh sách bị CHECK chặn: UPDATE de_tai SET trang_thai='da_xoa' WHERE id=88 → #4025 CONSTRAINT chk_detai_trangthai failed</t>
        </is>
      </c>
      <c r="H5" s="18" t="inlineStr">
        <is>
          <t>Đạt</t>
        </is>
      </c>
    </row>
    <row r="6">
      <c r="A6" s="18" t="inlineStr">
        <is>
          <t>TC-B6-04</t>
        </is>
      </c>
      <c r="B6" s="18" t="inlineStr">
        <is>
          <t>CSDL</t>
        </is>
      </c>
      <c r="C6" s="18" t="inlineStr">
        <is>
          <t>Bất biến – nhật ký chỉ ghi thêm</t>
        </is>
      </c>
      <c r="D6" s="18" t="inlineStr">
        <is>
          <t>Như TC-B6-03</t>
        </is>
      </c>
      <c r="E6" s="18" t="inlineStr">
        <is>
          <t>(a) UPDATE nhat_ky_he_thong SET chi_tiet='x' LIMIT 1; (b) DELETE FROM nhat_ky_he_thong LIMIT 1</t>
        </is>
      </c>
      <c r="F6" s="18" t="inlineStr">
        <is>
          <t>Cả hai bị chặn</t>
        </is>
      </c>
      <c r="G6" s="18" t="inlineStr">
        <is>
          <t>Máy cục bộ, 03/10/2026: (a) ERROR 1644: Nhat ky chi duoc ghi them; (b) ERROR 1644: Nhat ky chi duoc ghi them
Web, 03/10/2026: InfinityFree không cho tạo trigger (#1142 TRIGGER command denied) nên phần trigger chỉ kiểm chứng trên máy cục bộ</t>
        </is>
      </c>
      <c r="H6" s="18" t="inlineStr">
        <is>
          <t>Đạt</t>
        </is>
      </c>
    </row>
    <row r="7">
      <c r="A7" s="18" t="inlineStr">
        <is>
          <t>TC-B6-05</t>
        </is>
      </c>
      <c r="B7" s="18" t="inlineStr">
        <is>
          <t>CSDL</t>
        </is>
      </c>
      <c r="C7" s="18" t="inlineStr">
        <is>
          <t>Bất biến – miền giá trị, duy nhất</t>
        </is>
      </c>
      <c r="D7" s="18" t="inlineStr">
        <is>
          <t>Như TC-B6-03</t>
        </is>
      </c>
      <c r="E7" s="18" t="inlineStr">
        <is>
          <t>(a) UPDATE diem_nghiem_thu SET diem = 11; (b) bỏ gvhd_id của đề tài approved; (c) thêm nhóm trưởng thứ hai cho đề tài 1; (d) hội đồng chấm trùng một đề tài</t>
        </is>
      </c>
      <c r="F7" s="18" t="inlineStr">
        <is>
          <t>Cả bốn bị chặn</t>
        </is>
      </c>
      <c r="G7" s="18" t="inlineStr">
        <is>
          <t>Máy cục bộ, 03/10/2026: (a) CONSTRAINT chk_diem_khoangdiem; (b) CONSTRAINT chk_detai_gvhd; (c) Duplicate entry cho uq_tvn_one_leader; (d) Duplicate entry cho uq_diem_detai_hoidong
Web, 03/10/2026: (a) #4025 CONSTRAINT chk_diem_khoangdiem failed; (b) đề tài 88: #4025 CONSTRAINT chk_detai_gvhd failed; (c) đề tài 88: #1062 Duplicate entry '88' for key 'uq_tvn_one_leader'; (d) chưa chạy trên web</t>
        </is>
      </c>
      <c r="H7" s="18" t="inlineStr">
        <is>
          <t>Đạt</t>
        </is>
      </c>
    </row>
    <row r="8">
      <c r="A8" s="18" t="inlineStr">
        <is>
          <t>TC-B6-06</t>
        </is>
      </c>
      <c r="B8" s="18" t="inlineStr">
        <is>
          <t>Nhóm · F2.11</t>
        </is>
      </c>
      <c r="C8" s="18" t="inlineStr">
        <is>
          <t>Bất biến – giới hạn thành viên</t>
        </is>
      </c>
      <c r="D8" s="18" t="inlineStr">
        <is>
          <t>Nhóm có nhóm trưởng; 5 sinh viên chưa thuộc nhóm nào</t>
        </is>
      </c>
      <c r="E8" s="18" t="inlineStr">
        <is>
          <t>(a) Trên CSDL: chèn 6 thành viên vào một nhóm 2 người; (b) Qua API: nhóm trưởng thêm lần lượt 4 rồi 5 sinh viên</t>
        </is>
      </c>
      <c r="F8" s="18" t="inlineStr">
        <is>
          <t>(a) Trigger chặn khi vượt 5 người; (b) 4 lần 201, lần thêm người thứ 6 trả 422 NHOM_DA_DU (không phải 500)</t>
        </is>
      </c>
      <c r="G8" s="18" t="inlineStr">
        <is>
          <t>Máy cục bộ, 03/10/2026: (a) ERROR 1644: Nhom da du so thanh vien toi da, nhóm vẫn 2 người; (b) 201, 201, 201, 201, rồi 422 NHOM_DA_DU; nhóm 5 người
Web, 03/10/2026: InfinityFree không cho tạo trigger (#1142 TRIGGER command denied) nên phần trigger chỉ kiểm chứng trên máy cục bộ (phần a); phần API (b) chưa chạy trên web</t>
        </is>
      </c>
      <c r="H8" s="18" t="inlineStr">
        <is>
          <t>Đạt</t>
        </is>
      </c>
    </row>
    <row r="9">
      <c r="A9" s="18" t="inlineStr">
        <is>
          <t>TC-B6-07</t>
        </is>
      </c>
      <c r="B9" s="18" t="inlineStr">
        <is>
          <t>L1 · UC02</t>
        </is>
      </c>
      <c r="C9" s="18" t="inlineStr">
        <is>
          <t>Chuyển trạng thái hợp lệ vẫn chạy</t>
        </is>
      </c>
      <c r="D9" s="18" t="inlineStr">
        <is>
          <t>Đề tài 42 rejected, chủ đề tài sv24100120</t>
        </is>
      </c>
      <c r="E9" s="18" t="inlineStr">
        <is>
          <t>(a) Trên CSDL: UPDATE de_tai SET trang_thai='pending' WHERE trang_thai='rejected' (rồi ROLLBACK); (b) Qua API: PATCH /api/v1/de-tai/42 sửa mô tả</t>
        </is>
      </c>
      <c r="F9" s="18" t="inlineStr">
        <is>
          <t>(a) Không lỗi; (b) 200, đề tài về pending, lịch sử có dòng RESUBMIT_TOPIC</t>
        </is>
      </c>
      <c r="G9" s="18" t="inlineStr">
        <is>
          <t>Máy cục bộ, 03/10/2026: (a) không lỗi; (b) 200, pending; lịch sử: REJECT_TOPIC → rejected, RESUBMIT_TOPIC rejected → pending</t>
        </is>
      </c>
      <c r="H9" s="18" t="inlineStr">
        <is>
          <t>Đạt</t>
        </is>
      </c>
    </row>
    <row r="10">
      <c r="A10" s="18" t="inlineStr">
        <is>
          <t>TC-B6-08</t>
        </is>
      </c>
      <c r="B10" s="18" t="inlineStr">
        <is>
          <t>F3.10</t>
        </is>
      </c>
      <c r="C10" s="18" t="inlineStr">
        <is>
          <t>Lịch sử trạng thái đúng từng bước</t>
        </is>
      </c>
      <c r="D10" s="18" t="inlineStr">
        <is>
          <t>Sau khi chạy bộ TC-NV Buổi 5</t>
        </is>
      </c>
      <c r="E10" s="18" t="inlineStr">
        <is>
          <t>GET /api/v1/de-tai/1/lich-su; /de-tai/42/lich-su; /bao-cao-moc/{bản nộp đầu}/lich-su; /bao-cao-moc/{bản nộp lại}/lich-su</t>
        </is>
      </c>
      <c r="F10" s="18" t="inlineStr">
        <is>
          <t>Mỗi đối tượng chỉ có các bước của chính nó (đề tài 1 không lẫn đề tài 14, 10…); tu_trang_thai → den_trang_thai đúng thứ tự</t>
        </is>
      </c>
      <c r="G10" s="18" t="inlineStr">
        <is>
          <t>Máy cục bộ, 03/10/2026: đề tài 1: không có dòng của đề tài khác; đề tài 42: rejected → pending; báo cáo 78: pending → revision_requested; báo cáo 80: pending → approved</t>
        </is>
      </c>
      <c r="H10" s="18" t="inlineStr">
        <is>
          <t>Đạt</t>
        </is>
      </c>
    </row>
    <row r="11">
      <c r="A11" s="18" t="inlineStr">
        <is>
          <t>TC-B6-09</t>
        </is>
      </c>
      <c r="B11" s="18" t="inlineStr">
        <is>
          <t>F3.10</t>
        </is>
      </c>
      <c r="C11" s="18" t="inlineStr">
        <is>
          <t>Phân quyền trên đối tượng</t>
        </is>
      </c>
      <c r="D11" s="18" t="inlineStr">
        <is>
          <t>Sinh viên sv_chua_co_nhom không thuộc nhóm đề tài 1</t>
        </is>
      </c>
      <c r="E11" s="18" t="inlineStr">
        <is>
          <t>GET /api/v1/de-tai/1/lich-su và /bao-cao-moc/78/lich-su bằng sinh viên nhóm khác; gọi khi chưa đăng nhập</t>
        </is>
      </c>
      <c r="F11" s="18" t="inlineStr">
        <is>
          <t>Sinh viên nhóm khác 403; khách 401</t>
        </is>
      </c>
      <c r="G11" s="18" t="inlineStr">
        <is>
          <t>Máy cục bộ, 03/10/2026: sinh viên nhóm khác: 403, 403; khách: 401</t>
        </is>
      </c>
      <c r="H11" s="18" t="inlineStr">
        <is>
          <t>Đạt</t>
        </is>
      </c>
    </row>
    <row r="12">
      <c r="A12" s="18" t="inlineStr">
        <is>
          <t>TC-B6-10</t>
        </is>
      </c>
      <c r="B12" s="18" t="inlineStr">
        <is>
          <t>L1, L2 · T3</t>
        </is>
      </c>
      <c r="C12" s="18" t="inlineStr">
        <is>
          <t>Máy trạng thái qua API</t>
        </is>
      </c>
      <c r="D12" s="18" t="inlineStr">
        <is>
          <t>Đề tài 1 in_progress; báo cáo 1 approved</t>
        </is>
      </c>
      <c r="E12" s="18" t="inlineStr">
        <is>
          <t>Chạy lại TC-NV-07 (duyệt/từ chối đề tài in_progress) và TC-NV-14 (duyệt, yêu cầu bổ sung, nộp lại báo cáo approved)</t>
        </is>
      </c>
      <c r="F12" s="18" t="inlineStr">
        <is>
          <t>422 INVALID_TRANSITION, trạng thái không đổi</t>
        </is>
      </c>
      <c r="G12" s="18" t="inlineStr">
        <is>
          <t>Máy cục bộ, 03/10/2026: TC-NV-07: 422, 422, đề tài 1 vẫn in_progress; TC-NV-14: 422, 422, 422, báo cáo 1 vẫn approved</t>
        </is>
      </c>
      <c r="H12" s="18" t="inlineStr">
        <is>
          <t>Đạt</t>
        </is>
      </c>
    </row>
    <row r="13">
      <c r="A13" s="18" t="inlineStr">
        <is>
          <t>TC-B6-11</t>
        </is>
      </c>
      <c r="B13" s="18" t="inlineStr">
        <is>
          <t>CSDL</t>
        </is>
      </c>
      <c r="C13" s="18" t="inlineStr">
        <is>
          <t>Đối soát dữ liệu</t>
        </is>
      </c>
      <c r="D13" s="18" t="inlineStr">
        <is>
          <t>doi_soat.sql của V2</t>
        </is>
      </c>
      <c r="E13" s="18" t="inlineStr">
        <is>
          <t>(a) Phần A trước khi chạy cap_nhat_csdl_buoi6.sql; (b) phần B sau khi chạy toàn bộ bộ kiểm thử</t>
        </is>
      </c>
      <c r="F13" s="18" t="inlineStr">
        <is>
          <t>Cả hai ra 0 dòng</t>
        </is>
      </c>
      <c r="G13" s="18" t="inlineStr">
        <is>
          <t>Máy cục bộ, 03/10/2026: (a) 0 dòng; (b) 0 dòng</t>
        </is>
      </c>
      <c r="H13" s="18" t="inlineStr">
        <is>
          <t>Đạt</t>
        </is>
      </c>
    </row>
    <row r="14">
      <c r="A14" s="18" t="inlineStr">
        <is>
          <t>TC-B6-12</t>
        </is>
      </c>
      <c r="B14" s="18" t="inlineStr">
        <is>
          <t>Hồi quy</t>
        </is>
      </c>
      <c r="C14" s="18" t="inlineStr">
        <is>
          <t>Hồi quy</t>
        </is>
      </c>
      <c r="D14" s="18" t="inlineStr">
        <is>
          <t>Bản develop đã ghép code V2, V3 Buổi 6 và PhanQuyenFilter đóng phiên sớm</t>
        </is>
      </c>
      <c r="E14" s="18" t="inlineStr">
        <is>
          <t>Chạy lại 17 ca TC-NV Buổi 5, kiểm tra API bổ sung, giao diện Chrome, unit test TrangThaiWorkflowTest</t>
        </is>
      </c>
      <c r="F14" s="18" t="inlineStr">
        <is>
          <t>Không phát sinh lỗi hồi quy</t>
        </is>
      </c>
      <c r="G14" s="18" t="inlineStr">
        <is>
          <t>Máy cục bộ, 03/10/2026: TC-NV-01 → 17: Đạt; giao diện 18/18; unit test 5/5 (OK, 7 assertions); trước khi sửa code V3, TC-NV-09, 10, 13 trượt vì nộp báo cáo lỗi 500
Sau khi thêm luồng 3 (CSDL dựng lại sạch): TC-NV-01 → 17: Đạt; kiểm tra API 77/77; giao diện 18/18; unit test 8/8 (OK, 13 assertions); TC-B6-01, 02 chạy lại: 1×200 + 49×422 và 1×201 + 49×409, đề tài sang in_progress đúng 1 lần</t>
        </is>
      </c>
      <c r="H14" s="18" t="inlineStr">
        <is>
          <t>Đạt</t>
        </is>
      </c>
    </row>
    <row r="15">
      <c r="A15" s="18" t="inlineStr">
        <is>
          <t>TC-B6-13</t>
        </is>
      </c>
      <c r="B15" s="18" t="inlineStr">
        <is>
          <t>L3 · UC06 · T3</t>
        </is>
      </c>
      <c r="C15" s="18" t="inlineStr">
        <is>
          <t>Chuyển trạng thái tự động</t>
        </is>
      </c>
      <c r="D15" s="18" t="inlineStr">
        <is>
          <t>Lớp mới có 2 mốc bắt buộc + 1 mốc tự chọn; đề tài vừa được GVHD duyệt (approved)</t>
        </is>
      </c>
      <c r="E15" s="18" t="inlineStr">
        <is>
          <t>Nhóm trưởng nộp mốc 1, mốc tự chọn; GVHD duyệt mốc 1; mốc 2 bị yêu cầu bổ sung rồi nộp lại; GVHD duyệt bản nộp lại của mốc 2; duyệt mốc tự chọn</t>
        </is>
      </c>
      <c r="F15" s="18" t="inlineStr">
        <is>
          <t>Nộp bản đầu tiên: approved → in_progress. Còn thiếu mốc bắt buộc (kể cả mốc đang bị yêu cầu bổ sung): vẫn in_progress. Duyệt mốc bắt buộc cuối cùng: completed, ghi TOPIC_READY, thông báo nhóm trưởng. Mốc tự chọn không ảnh hưởng</t>
        </is>
      </c>
      <c r="G15" s="18" t="inlineStr">
        <is>
          <t>Máy cục bộ, 03/10/2026: nộp đầu 201, in_progress; nộp mốc tự chọn 201, in_progress; duyệt mốc 1: 200, in_progress; mốc 2 yêu cầu bổ sung: in_progress; duyệt bản nộp lại mốc 2: 200, completed; duyệt mốc tự chọn sau: 200, vẫn completed</t>
        </is>
      </c>
      <c r="H15" s="18" t="inlineStr">
        <is>
          <t>Đạt</t>
        </is>
      </c>
    </row>
    <row r="16">
      <c r="A16" s="18" t="inlineStr">
        <is>
          <t>TC-B6-14</t>
        </is>
      </c>
      <c r="B16" s="18" t="inlineStr">
        <is>
          <t>L3 · F4.1, F4.2</t>
        </is>
      </c>
      <c r="C16" s="18" t="inlineStr">
        <is>
          <t>Phân quyền theo trạng thái</t>
        </is>
      </c>
      <c r="D16" s="18" t="inlineStr">
        <is>
          <t>Như TC-B6-13; đăng nhập hd_pham_van_d</t>
        </is>
      </c>
      <c r="E16" s="18" t="inlineStr">
        <is>
          <t>Khi đề tài còn approved: GET /de-tai/{id}/ho-so-nghiem-thu, POST /diem-nghiem-thu. Khi completed: GET /nghiem-thu/ho-so?trang_thai=completed, GET hồ sơ; GVHD gọi GET hồ sơ</t>
        </is>
      </c>
      <c r="F16" s="18" t="inlineStr">
        <is>
          <t>Chưa đủ điều kiện: hồ sơ 403, chấm 422 INVALID_TRANSITION. Đủ điều kiện: danh sách có đề tài; hồ sơ có bản nộp mới nhất từng mốc kèm nhận xét GVHD. GVHD gọi API hồ sơ: 403</t>
        </is>
      </c>
      <c r="G16" s="18" t="inlineStr">
        <is>
          <t>Máy cục bộ, 03/10/2026: approved: 403; chấm 422 INVALID_TRANSITION. completed: danh sách 200 có đề tài; hồ sơ 200 có nhận xét 'Dat moc 2'; GVHD: 403</t>
        </is>
      </c>
      <c r="H16" s="18" t="inlineStr">
        <is>
          <t>Đạt</t>
        </is>
      </c>
    </row>
    <row r="17">
      <c r="A17" s="18" t="inlineStr">
        <is>
          <t>TC-B6-15</t>
        </is>
      </c>
      <c r="B17" s="18" t="inlineStr">
        <is>
          <t>L3 · UC06 · F4.3</t>
        </is>
      </c>
      <c r="C17" s="18" t="inlineStr">
        <is>
          <t>Ngoại lệ – điểm sai</t>
        </is>
      </c>
      <c r="D17" s="18" t="inlineStr">
        <is>
          <t>Đề tài completed; đăng nhập hội đồng</t>
        </is>
      </c>
      <c r="E17" s="18" t="inlineStr">
        <is>
          <t>POST /api/v1/de-tai/{id}/diem-nghiem-thu với diem = 11; diem = -1; diem = "abc"</t>
        </is>
      </c>
      <c r="F17" s="18" t="inlineStr">
        <is>
          <t>422 DIEM_NGOAI_KHOANG cho 11 và -1; 422 VALIDATION_FAILED cho chữ; không lưu điểm</t>
        </is>
      </c>
      <c r="G17" s="18" t="inlineStr">
        <is>
          <t>Máy cục bộ, 03/10/2026: 11: 422 DIEM_NGOAI_KHOANG; -1: 422 DIEM_NGOAI_KHOANG; "abc": 422 VALIDATION_FAILED</t>
        </is>
      </c>
      <c r="H17" s="18" t="inlineStr">
        <is>
          <t>Đạt</t>
        </is>
      </c>
    </row>
    <row r="18">
      <c r="A18" s="18" t="inlineStr">
        <is>
          <t>TC-B6-16</t>
        </is>
      </c>
      <c r="B18" s="18" t="inlineStr">
        <is>
          <t>L3 · F4.3, F4.5</t>
        </is>
      </c>
      <c r="C18" s="18" t="inlineStr">
        <is>
          <t>Phân quyền theo vai trò</t>
        </is>
      </c>
      <c r="D18" s="18" t="inlineStr">
        <is>
          <t>Đề tài completed</t>
        </is>
      </c>
      <c r="E18" s="18" t="inlineStr">
        <is>
          <t>GVHD phụ trách gọi POST /diem-nghiem-thu; thành viên hội đồng gọi POST /chot-nghiem-thu</t>
        </is>
      </c>
      <c r="F18" s="18" t="inlineStr">
        <is>
          <t>403 cả hai; không đổi dữ liệu</t>
        </is>
      </c>
      <c r="G18" s="18" t="inlineStr">
        <is>
          <t>Máy cục bộ, 03/10/2026: GVHD chấm: 403; hội đồng chốt: 403</t>
        </is>
      </c>
      <c r="H18" s="18" t="inlineStr">
        <is>
          <t>Đạt</t>
        </is>
      </c>
    </row>
    <row r="19">
      <c r="A19" s="18" t="inlineStr">
        <is>
          <t>TC-B6-17</t>
        </is>
      </c>
      <c r="B19" s="18" t="inlineStr">
        <is>
          <t>L3 · UC06 · T3</t>
        </is>
      </c>
      <c r="C19" s="18" t="inlineStr">
        <is>
          <t>Truy cập đồng thời – chấm trùng</t>
        </is>
      </c>
      <c r="D19" s="18" t="inlineStr">
        <is>
          <t>Đề tài completed; hội đồng 1 đã chấm 8; hội đồng 2 chưa chấm</t>
        </is>
      </c>
      <c r="E19" s="18" t="inlineStr">
        <is>
          <t>Hội đồng 1 gửi lại POST /diem-nghiem-thu; hội đồng 2 gửi 10 yêu cầu chấm cùng lúc (Apache, cùng phiên)</t>
        </is>
      </c>
      <c r="F19" s="18" t="inlineStr">
        <is>
          <t>Lần chấm thứ hai: 409 CONFLICT. 10 yêu cầu đồng thời: đúng 1 lần 201, 9 lần 409, đúng 1 dòng điểm của hội đồng 2</t>
        </is>
      </c>
      <c r="G19" s="18" t="inlineStr">
        <is>
          <t>Máy cục bộ, 03/10/2026: chấm lại: 409 CONFLICT; đồng thời: 1×201 + 9×409, 1 dòng điểm</t>
        </is>
      </c>
      <c r="H19" s="18" t="inlineStr">
        <is>
          <t>Đạt</t>
        </is>
      </c>
    </row>
    <row r="20">
      <c r="A20" s="18" t="inlineStr">
        <is>
          <t>TC-B6-18</t>
        </is>
      </c>
      <c r="B20" s="18" t="inlineStr">
        <is>
          <t>L3 · UC06 · F4.5</t>
        </is>
      </c>
      <c r="C20" s="18" t="inlineStr">
        <is>
          <t>Luồng chính – chốt nghiệm thu</t>
        </is>
      </c>
      <c r="D20" s="18" t="inlineStr">
        <is>
          <t>Đề tài completed chưa có điểm, sau đó có 2 lượt chấm (8 và 7); đăng nhập thukykhoa</t>
        </is>
      </c>
      <c r="E20" s="18" t="inlineStr">
        <is>
          <t>Chốt khi chưa có điểm; chốt sau khi có 2 lượt; chốt lại lần hai; hội đồng thứ ba chấm sau khi đã chốt</t>
        </is>
      </c>
      <c r="F20" s="18" t="inlineStr">
        <is>
          <t>Chưa có điểm: 422 CHUA_CO_DIEM. Chốt: 200, đề tài accepted, điểm TB 7,5, ghi ACCEPT_TOPIC, thông báo nhóm trưởng và GVHD. Chốt lại, chấm thêm: 422 INVALID_TRANSITION</t>
        </is>
      </c>
      <c r="G20" s="18" t="inlineStr">
        <is>
          <t>Máy cục bộ, 03/10/2026: chưa có điểm: 422 CHUA_CO_DIEM; chốt: 200, accepted, TB 7.5; chốt lại: 422 INVALID_TRANSITION; chấm sau khi chốt: 422 INVALID_TRANSITION</t>
        </is>
      </c>
      <c r="H20" s="18" t="inlineStr">
        <is>
          <t>Đạt</t>
        </is>
      </c>
    </row>
    <row r="21">
      <c r="A21" s="18" t="inlineStr">
        <is>
          <t>TC-B6-19</t>
        </is>
      </c>
      <c r="B21" s="18" t="inlineStr">
        <is>
          <t>L3 · F4.4</t>
        </is>
      </c>
      <c r="C21" s="18" t="inlineStr">
        <is>
          <t>Phạm vi xem điểm</t>
        </is>
      </c>
      <c r="D21" s="18" t="inlineStr">
        <is>
          <t>Như TC-B6-18</t>
        </is>
      </c>
      <c r="E21" s="18" t="inlineStr">
        <is>
          <t>Trước khi chốt: nhóm trưởng, hội đồng 2 gọi GET /diem-nghiem-thu; GV không phụ trách, sinh viên nhóm khác gọi GET. Sau khi chốt: nhóm trưởng, GVHD phụ trách gọi GET</t>
        </is>
      </c>
      <c r="F21" s="18" t="inlineStr">
        <is>
          <t>Trước khi chốt: sinh viên 200 cong_bo = false, không có điểm; hội đồng thấy điểm. GV không phụ trách, sinh viên nhóm khác: 403. Sau khi chốt: sinh viên, GVHD 200 cong_bo = true, TB 7,5</t>
        </is>
      </c>
      <c r="G21" s="18" t="inlineStr">
        <is>
          <t>Máy cục bộ, 03/10/2026: trước chốt: SV 200/false; hội đồng 200, 1 điểm; GV không phụ trách 403; SV nhóm khác 403. Sau chốt: SV 200/true/7.5; GVHD 200/true</t>
        </is>
      </c>
      <c r="H21" s="18" t="inlineStr">
        <is>
          <t>Đạt</t>
        </is>
      </c>
    </row>
    <row r="22">
      <c r="A22" s="18" t="inlineStr">
        <is>
          <t>TC-B6-20</t>
        </is>
      </c>
      <c r="B22" s="18" t="inlineStr">
        <is>
          <t>L3 · F3.10</t>
        </is>
      </c>
      <c r="C22" s="18" t="inlineStr">
        <is>
          <t>Lịch sử, nhật ký, thông báo</t>
        </is>
      </c>
      <c r="D22" s="18" t="inlineStr">
        <is>
          <t>Sau TC-B6-13 → 19</t>
        </is>
      </c>
      <c r="E22" s="18" t="inlineStr">
        <is>
          <t>GET /api/v1/de-tai/{id}/lich-su; truy vấn nhat_ky_he_thong, thong_bao của đề tài</t>
        </is>
      </c>
      <c r="F22" s="18" t="inlineStr">
        <is>
          <t>Lịch sử: pending → approved → in_progress → completed → accepted. Nhật ký: START_TOPIC, TOPIC_READY, GRADE_TOPIC ×2, ACCEPT_TOPIC. Thông báo: đủ điều kiện (nhóm trưởng), kết quả nghiệm thu (nhóm trưởng, GVHD)</t>
        </is>
      </c>
      <c r="G22" s="18" t="inlineStr">
        <is>
          <t>Máy cục bộ, 03/10/2026: lịch sử đúng 5 trạng thái; nhật ký START_TOPIC, TOPIC_READY, GRADE_TOPIC, GRADE_TOPIC, ACCEPT_TOPIC; 3 thông báo</t>
        </is>
      </c>
      <c r="H22" s="18" t="inlineStr">
        <is>
          <t>Đạt</t>
        </is>
      </c>
    </row>
    <row r="23">
      <c r="A23" s="18" t="inlineStr">
        <is>
          <t>TC-B6-21</t>
        </is>
      </c>
      <c r="B23" s="18" t="inlineStr">
        <is>
          <t>L3 · Giao diện</t>
        </is>
      </c>
      <c r="C23" s="18" t="inlineStr">
        <is>
          <t>Giao diện luồng 3</t>
        </is>
      </c>
      <c r="D23" s="18" t="inlineStr">
        <is>
          <t>Đề tài completed (dựng bằng API như TC-B6-13); Chrome chạy ẩn</t>
        </is>
      </c>
      <c r="E23" s="18" t="inlineStr">
        <is>
          <t>hd_ly_quang_vinh mở hồ sơ, nhập 11 rồi 8.5; nhóm trưởng xem điểm; thukykhoa chốt ở khối 'Chốt kết quả nghiệm thu'; nhóm trưởng, GVHD xem lại</t>
        </is>
      </c>
      <c r="F23" s="18" t="inlineStr">
        <is>
          <t>Hồ sơ hiện GVHD, nhóm, mốc kèm nhận xét; điểm 11 hiện lỗi; gửi 8.5 xong form ẩn. Sinh viên chưa thấy điểm trước khi chốt. Sau khi chốt: nhãn 'Đã nghiệm thu', sinh viên và GVHD thấy điểm TB 8.5; không lỗi JS</t>
        </is>
      </c>
      <c r="G23" s="18" t="inlineStr">
        <is>
          <t>Máy cục bộ, 03/10/2026: 17/17 kiểm tra Đạt, không có lỗi JS / console</t>
        </is>
      </c>
      <c r="H23" s="18" t="inlineStr">
        <is>
          <t>Đạt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30" customWidth="1" min="4" max="4"/>
    <col width="52" customWidth="1" min="5" max="5"/>
    <col width="46" customWidth="1" min="6" max="6"/>
    <col width="16" customWidth="1" min="7" max="7"/>
    <col width="8" customWidth="1" min="8" max="8"/>
  </cols>
  <sheetData>
    <row r="1">
      <c r="A1" s="1" t="inlineStr">
        <is>
          <t>CA KIỂM THỬ NHẬT KÝ ĐĂNG NHẬP, TẢI TỆP KHÔNG HỢP LỆ VÀ BÁO CÁO THỐNG KÊ – BUỔI 7</t>
        </is>
      </c>
    </row>
    <row r="2">
      <c r="A2" s="4" t="inlineStr">
        <is>
          <t>Mã ca</t>
        </is>
      </c>
      <c r="B2" s="4" t="inlineStr">
        <is>
          <t>Luồng / UC</t>
        </is>
      </c>
      <c r="C2" s="4" t="inlineStr">
        <is>
          <t>Loại</t>
        </is>
      </c>
      <c r="D2" s="4" t="inlineStr">
        <is>
          <t>Tiền đề</t>
        </is>
      </c>
      <c r="E2" s="4" t="inlineStr">
        <is>
          <t>Bước thực hiện</t>
        </is>
      </c>
      <c r="F2" s="4" t="inlineStr">
        <is>
          <t>Kết quả mong đợi</t>
        </is>
      </c>
      <c r="G2" s="4" t="inlineStr">
        <is>
          <t>Kết quả thực tế</t>
        </is>
      </c>
      <c r="H2" s="4" t="inlineStr">
        <is>
          <t>KL</t>
        </is>
      </c>
    </row>
    <row r="3">
      <c r="A3" s="18" t="inlineStr">
        <is>
          <t>TC-B7-01</t>
        </is>
      </c>
      <c r="B3" s="18" t="inlineStr">
        <is>
          <t>K8 · F1.2</t>
        </is>
      </c>
      <c r="C3" s="18" t="inlineStr">
        <is>
          <t>Nhật ký – đăng nhập thất bại</t>
        </is>
      </c>
      <c r="D3" s="18" t="inlineStr">
        <is>
          <t>Có tài khoản sv_tran_van_b; một tài khoản sinh viên mới do thư ký tạo rồi khóa</t>
        </is>
      </c>
      <c r="E3" s="18" t="inlineStr">
        <is>
          <t>POST /api/v1/auth/dang-nhap với (a) tên đăng nhập không tồn tại; (b) sv_tran_van_b sai mật khẩu; (c) tài khoản bị khóa, đúng mật khẩu</t>
        </is>
      </c>
      <c r="F3" s="18" t="inlineStr">
        <is>
          <t>(a), (b) 401; (c) 403 ACCOUNT_LOCKED. Mỗi lần ghi một dòng LOGIN_FAILED: (a) nguoi_dung_id = NULL, ghi tên đăng nhập đã thử; (b), (c) ghi đúng mã người dùng và lý do</t>
        </is>
      </c>
      <c r="G3" s="18" t="inlineStr">
        <is>
          <t>Máy cục bộ, 07/10/2026: (a) 401, LOGIN_FAILED / NULL / ten dang nhap khong ton tai (khong_ton_tai_b7); (b) 401, LOGIN_FAILED / 3 / sai mat khau; (c) 403, LOGIN_FAILED / mã tài khoản / tai khoan dang bi khoa</t>
        </is>
      </c>
      <c r="H3" s="18" t="inlineStr">
        <is>
          <t>Đạt</t>
        </is>
      </c>
    </row>
    <row r="4">
      <c r="A4" s="18" t="inlineStr">
        <is>
          <t>TC-B7-02</t>
        </is>
      </c>
      <c r="B4" s="18" t="inlineStr">
        <is>
          <t>K8 · F1.2</t>
        </is>
      </c>
      <c r="C4" s="18" t="inlineStr">
        <is>
          <t>Nhật ký – đăng nhập thành công</t>
        </is>
      </c>
      <c r="D4" s="18" t="inlineStr">
        <is>
          <t>Tài khoản sv_tran_van_b</t>
        </is>
      </c>
      <c r="E4" s="18" t="inlineStr">
        <is>
          <t>Đăng nhập đúng mật khẩu; xem dòng nhật ký mới nhất</t>
        </is>
      </c>
      <c r="F4" s="18" t="inlineStr">
        <is>
          <t>200; một dòng LOGIN_SUCCESS đúng mã người dùng, có địa chỉ IP</t>
        </is>
      </c>
      <c r="G4" s="18" t="inlineStr">
        <is>
          <t>Máy cục bộ, 07/10/2026: 200, LOGIN_SUCCESS / 3 / Dang nhap thanh cong; cột dia_chi_ip có giá trị</t>
        </is>
      </c>
      <c r="H4" s="18" t="inlineStr">
        <is>
          <t>Đạt</t>
        </is>
      </c>
    </row>
    <row r="5">
      <c r="A5" s="18" t="inlineStr">
        <is>
          <t>TC-B7-03</t>
        </is>
      </c>
      <c r="B5" s="18" t="inlineStr">
        <is>
          <t>K8 · F1.4</t>
        </is>
      </c>
      <c r="C5" s="18" t="inlineStr">
        <is>
          <t>Nhật ký – đổi mật khẩu, đăng xuất</t>
        </is>
      </c>
      <c r="D5" s="18" t="inlineStr">
        <is>
          <t>sv_tran_van_b đã đăng nhập</t>
        </is>
      </c>
      <c r="E5" s="18" t="inlineStr">
        <is>
          <t>Đổi mật khẩu hai lần (đổi rồi trả lại mật khẩu cũ); POST /api/v1/auth/dang-xuat; gọi lại GET /api/v1/nguoi-dung/toi</t>
        </is>
      </c>
      <c r="F5" s="18" t="inlineStr">
        <is>
          <t>Hai dòng CHANGE_PASSWORD; một dòng LOGOUT; đăng xuất 204; sau đăng xuất 401</t>
        </is>
      </c>
      <c r="G5" s="18" t="inlineStr">
        <is>
          <t>Máy cục bộ, 07/10/2026: 2 dòng CHANGE_PASSWORD; đăng xuất 204, LOGOUT / 3; gọi lại: 401</t>
        </is>
      </c>
      <c r="H5" s="18" t="inlineStr">
        <is>
          <t>Đạt</t>
        </is>
      </c>
    </row>
    <row r="6">
      <c r="A6" s="18" t="inlineStr">
        <is>
          <t>TC-B7-04</t>
        </is>
      </c>
      <c r="B6" s="18" t="inlineStr">
        <is>
          <t>K8 · BM</t>
        </is>
      </c>
      <c r="C6" s="18" t="inlineStr">
        <is>
          <t>Nhật ký không chứa bí mật</t>
        </is>
      </c>
      <c r="D6" s="18" t="inlineStr">
        <is>
          <t>Sau TC-B7-01 → 03</t>
        </is>
      </c>
      <c r="E6" s="18" t="inlineStr">
        <is>
          <t>Tìm trong nhat_ky_he_thong các chuỗi mật khẩu đã gửi (mật khẩu sai, mật khẩu cũ, mật khẩu mới)</t>
        </is>
      </c>
      <c r="F6" s="18" t="inlineStr">
        <is>
          <t>0 dòng: nhật ký không ghi mật khẩu dưới mọi dạng</t>
        </is>
      </c>
      <c r="G6" s="18" t="inlineStr">
        <is>
          <t>Máy cục bộ, 07/10/2026: 0 dòng</t>
        </is>
      </c>
      <c r="H6" s="18" t="inlineStr">
        <is>
          <t>Đạt</t>
        </is>
      </c>
    </row>
    <row r="7">
      <c r="A7" s="18" t="inlineStr">
        <is>
          <t>TC-B7-05</t>
        </is>
      </c>
      <c r="B7" s="18" t="inlineStr">
        <is>
          <t>K6 · F3.4</t>
        </is>
      </c>
      <c r="C7" s="18" t="inlineStr">
        <is>
          <t>Tệp giả mạo – đổi đuôi tệp kịch bản thành ảnh</t>
        </is>
      </c>
      <c r="D7" s="18" t="inlineStr">
        <is>
          <t>Đề tài 1 (in_progress) của sv_tran_van_b; một mốc mới còn hạn của lớp 1</t>
        </is>
      </c>
      <c r="E7" s="18" t="inlineStr">
        <is>
          <t>Nộp tệp kịch bản PHP đổi tên thành anh.jpg</t>
        </is>
      </c>
      <c r="F7" s="18" t="inlineStr">
        <is>
          <t>422, lý do chỉ nhận .pdf hoặc .docx; không lưu tệp</t>
        </is>
      </c>
      <c r="G7" s="18" t="inlineStr">
        <is>
          <t>Máy cục bộ, 07/10/2026: 422 (Chi nhan tep .pdf hoac .docx)
Web, 08/10/2026 (Ảnh 23, kịch bản Console anh23-tep-tren-web.js, 10/10 Đạt): tệp kịch bản PHP đổi tên anh.jpg: 422 (Chi nhan tep .pdf hoac .docx)</t>
        </is>
      </c>
      <c r="H7" s="18" t="inlineStr">
        <is>
          <t>Đạt</t>
        </is>
      </c>
    </row>
    <row r="8">
      <c r="A8" s="18" t="inlineStr">
        <is>
          <t>TC-B7-06</t>
        </is>
      </c>
      <c r="B8" s="18" t="inlineStr">
        <is>
          <t>K6 · F3.4</t>
        </is>
      </c>
      <c r="C8" s="18" t="inlineStr">
        <is>
          <t>Tệp giả mạo – kiểm tra chữ ký tệp thực</t>
        </is>
      </c>
      <c r="D8" s="18" t="inlineStr">
        <is>
          <t>Như TC-B7-05</t>
        </is>
      </c>
      <c r="E8" s="18" t="inlineStr">
        <is>
          <t>Nộp (a) tệp kịch bản PHP đổi đuôi .pdf; (b) tệp kịch bản PHP đổi đuôi .docx; (c) tệp .exe đổi đuôi .pdf</t>
        </is>
      </c>
      <c r="F8" s="18" t="inlineStr">
        <is>
          <t>Cả ba 422, lý do nội dung tệp không đúng định dạng (dựa vào chữ ký đầu tệp, không tin phần mở rộng)</t>
        </is>
      </c>
      <c r="G8" s="18" t="inlineStr">
        <is>
          <t>Máy cục bộ, 07/10/2026: (a) 422 (Noi dung tep khong dung dinh dang pdf); (b) 422 (… docx); (c) 422 (… pdf)
Web, 08/10/2026 (Ảnh 23, kịch bản Console anh23-tep-tren-web.js, 10/10 Đạt): PHP đổi đuôi .pdf: 422 (Noi dung tep khong dung dinh dang pdf); .exe đổi đuôi .pdf: 422 (… pdf)</t>
        </is>
      </c>
      <c r="H8" s="18" t="inlineStr">
        <is>
          <t>Đạt</t>
        </is>
      </c>
    </row>
    <row r="9">
      <c r="A9" s="18" t="inlineStr">
        <is>
          <t>TC-B7-07</t>
        </is>
      </c>
      <c r="B9" s="18" t="inlineStr">
        <is>
          <t>K6 · F3.4</t>
        </is>
      </c>
      <c r="C9" s="18" t="inlineStr">
        <is>
          <t>Tệp giả mạo – hai phần mở rộng</t>
        </is>
      </c>
      <c r="D9" s="18" t="inlineStr">
        <is>
          <t>Như TC-B7-05</t>
        </is>
      </c>
      <c r="E9" s="18" t="inlineStr">
        <is>
          <t>Nộp tệp kịch bản đặt tên bao-cao.pdf.php</t>
        </is>
      </c>
      <c r="F9" s="18" t="inlineStr">
        <is>
          <t>422; phần mở rộng thật là .php nên bị từ chối</t>
        </is>
      </c>
      <c r="G9" s="18" t="inlineStr">
        <is>
          <t>Máy cục bộ, 07/10/2026: 422 (Chi nhan tep .pdf hoac .docx)
Web, 08/10/2026 (Ảnh 23, kịch bản Console anh23-tep-tren-web.js, 10/10 Đạt): bao-cao.pdf.php: 422 (Chi nhan tep .pdf hoac .docx)</t>
        </is>
      </c>
      <c r="H9" s="18" t="inlineStr">
        <is>
          <t>Đạt</t>
        </is>
      </c>
    </row>
    <row r="10">
      <c r="A10" s="18" t="inlineStr">
        <is>
          <t>TC-B7-08</t>
        </is>
      </c>
      <c r="B10" s="18" t="inlineStr">
        <is>
          <t>K6 · F3.4</t>
        </is>
      </c>
      <c r="C10" s="18" t="inlineStr">
        <is>
          <t>Biên – dung lượng, tệp rỗng</t>
        </is>
      </c>
      <c r="D10" s="18" t="inlineStr">
        <is>
          <t>Như TC-B7-05</t>
        </is>
      </c>
      <c r="E10" s="18" t="inlineStr">
        <is>
          <t>Nộp (a) tệp PDF vượt 5 MB; (b) tệp rỗng 0 byte; đếm tệp trong writable/uploads/bao_cao và số bản ghi bao_cao_moc trước và sau 7 lần nộp sai (TC-B7-05 → 08)</t>
        </is>
      </c>
      <c r="F10" s="18" t="inlineStr">
        <is>
          <t>(a) 422 dung lượng tối đa 5 MB; (b) 422. Sau 7 lần bị từ chối: không thêm tệp, không thêm bản ghi</t>
        </is>
      </c>
      <c r="G10" s="18" t="inlineStr">
        <is>
          <t>Máy cục bộ, 07/10/2026: (a) 422 (Dung luong toi da 5 MB); (b) 422; tệp +0, bản ghi +0
Web, 08/10/2026 (Ảnh 23, kịch bản Console anh23-tep-tren-web.js, 10/10 Đạt): PDF vượt 5 MB: 422 (Dung luong toi da 5 MB); sau 5 lần nộp sai số bản nộp 4 → 4</t>
        </is>
      </c>
      <c r="H10" s="18" t="inlineStr">
        <is>
          <t>Đạt</t>
        </is>
      </c>
    </row>
    <row r="11">
      <c r="A11" s="18" t="inlineStr">
        <is>
          <t>TC-B7-09</t>
        </is>
      </c>
      <c r="B11" s="18" t="inlineStr">
        <is>
          <t>K6 · BM8</t>
        </is>
      </c>
      <c r="C11" s="18" t="inlineStr">
        <is>
          <t>Đường dẫn tệp an toàn</t>
        </is>
      </c>
      <c r="D11" s="18" t="inlineStr">
        <is>
          <t>Như TC-B7-05</t>
        </is>
      </c>
      <c r="E11" s="18" t="inlineStr">
        <is>
          <t>Nộp tệp PDF thật đặt tên ../../public/vuot.pdf; xem bản ghi; mở thẳng đường dẫn lưu tệp trên trình duyệt</t>
        </is>
      </c>
      <c r="F11" s="18" t="inlineStr">
        <is>
          <t>201; tệp lưu bằng tên ngẫu nhiên bao_cao/&lt;32 ký tự&gt;.pdf trong writable, không lọt ra public; phản hồi không có duong_dan_tep; mở thẳng không đọc được tệp</t>
        </is>
      </c>
      <c r="G11" s="18" t="inlineStr">
        <is>
          <t>Máy cục bộ, 07/10/2026: 201, bao_cao/&lt;tên ngẫu nhiên&gt;.pdf, không có tệp public/vuot.pdf; phản hồi không có duong_dan_tep; mở thẳng: 404 (web Buổi 5: 403 – Ảnh 23)
Web, 08/10/2026 (Ảnh 23, kịch bản Console anh23-tep-tren-web.js, 10/10 Đạt): mở thẳng /writable/uploads/bao_cao/: 403 (máy chủ InfinityFree chặn)</t>
        </is>
      </c>
      <c r="H11" s="18" t="inlineStr">
        <is>
          <t>Đạt</t>
        </is>
      </c>
    </row>
    <row r="12">
      <c r="A12" s="18" t="inlineStr">
        <is>
          <t>TC-B7-10</t>
        </is>
      </c>
      <c r="B12" s="18" t="inlineStr">
        <is>
          <t>Hồi quy</t>
        </is>
      </c>
      <c r="C12" s="18" t="inlineStr">
        <is>
          <t>Hồi quy</t>
        </is>
      </c>
      <c r="D12" s="18" t="inlineStr">
        <is>
          <t>CSDL dựng lại sạch từ develop b68cd6a; bản ghép nhật ký đăng nhập</t>
        </is>
      </c>
      <c r="E12" s="18" t="inlineStr">
        <is>
          <t>Chạy lại 17 ca TC-NV, kiểm tra API bổ sung, luồng 3 đầu – cuối</t>
        </is>
      </c>
      <c r="F12" s="18" t="inlineStr">
        <is>
          <t>Không phát sinh lỗi hồi quy</t>
        </is>
      </c>
      <c r="G12" s="18" t="inlineStr">
        <is>
          <t>Máy cục bộ, 07/10/2026: TC-NV-01 → 17: Đạt; luồng 3: 33/33; kiểm tra API bổ sung: đạt, trừ 3 ca thêm sinh viên mã 224 do dữ liệu mẫu đã dùng mã này (đã biết từ Buổi 6)</t>
        </is>
      </c>
      <c r="H12" s="18" t="inlineStr">
        <is>
          <t>Đạt</t>
        </is>
      </c>
    </row>
    <row r="13">
      <c r="A13" s="18" t="inlineStr">
        <is>
          <t>TC-B7-11</t>
        </is>
      </c>
      <c r="B13" s="18" t="inlineStr">
        <is>
          <t>K7 · F5.1</t>
        </is>
      </c>
      <c r="C13" s="18" t="inlineStr">
        <is>
          <t>Số liệu đúng – đối chiếu truy vấn gốc</t>
        </is>
      </c>
      <c r="D13" s="18" t="inlineStr">
        <is>
          <t>CSDL dựng lại từ develop; reports_queries.sql của V2 (bản đã rà soát)</t>
        </is>
      </c>
      <c r="E13" s="18" t="inlineStr">
        <is>
          <t>Gọi ba API /api/v1/thong-ke/{de-tai-theo-lop, tien-do-nop, gvhd} cả năm 2026 bằng thukykhoa; chạy ba truy vấn gốc trên CSDL; so từng dòng, từng cột. Chạy bốn truy vấn đối chiếu D1 – D4</t>
        </is>
      </c>
      <c r="F13" s="18" t="inlineStr">
        <is>
          <t>Ba API 200, khớp truy vấn gốc mọi dòng mọi cột; D1 – D4 đều 0 dòng</t>
        </is>
      </c>
      <c r="G13" s="18" t="inlineStr">
        <is>
          <t>Máy cục bộ, 07/10/2026: khớp cả ba báo cáo; D1 – D4: 0 dòng</t>
        </is>
      </c>
      <c r="H13" s="18" t="inlineStr">
        <is>
          <t>Đạt</t>
        </is>
      </c>
    </row>
    <row r="14">
      <c r="A14" s="18" t="inlineStr">
        <is>
          <t>TC-B7-12</t>
        </is>
      </c>
      <c r="B14" s="18" t="inlineStr">
        <is>
          <t>K7 · F5.1</t>
        </is>
      </c>
      <c r="C14" s="18" t="inlineStr">
        <is>
          <t>Điều kiện thời gian – đối chiếu đếm tay</t>
        </is>
      </c>
      <c r="D14" s="18" t="inlineStr">
        <is>
          <t>Như TC-B7-11</t>
        </is>
      </c>
      <c r="E14" s="18" t="inlineStr">
        <is>
          <t>Báo cáo 1 lọc 01/10 – 31/10/2026; đếm tay SELECT COUNT(*) FROM de_tai trong khoảng đó. Gửi tu_ngay sai định dạng (01/10/2026), tu_ngay sau den_ngay</t>
        </is>
      </c>
      <c r="F14" s="18" t="inlineStr">
        <is>
          <t>Tổng báo cáo 1 = số đếm tay; ngày sai và khoảng ngược: 422</t>
        </is>
      </c>
      <c r="G14" s="18" t="inlineStr">
        <is>
          <t>Máy cục bộ, 07/10/2026: tổng 4 = đếm tay 4; ngày sai 422; khoảng ngược 422</t>
        </is>
      </c>
      <c r="H14" s="18" t="inlineStr">
        <is>
          <t>Đạt</t>
        </is>
      </c>
    </row>
    <row r="15">
      <c r="A15" s="18" t="inlineStr">
        <is>
          <t>TC-B7-13</t>
        </is>
      </c>
      <c r="B15" s="18" t="inlineStr">
        <is>
          <t>K7 · F5.1</t>
        </is>
      </c>
      <c r="C15" s="18" t="inlineStr">
        <is>
          <t>Phạm vi theo vai trò</t>
        </is>
      </c>
      <c r="D15" s="18" t="inlineStr">
        <is>
          <t>gv_nguyen_van_a hướng dẫn 5 đề tài năm 2026</t>
        </is>
      </c>
      <c r="E15" s="18" t="inlineStr">
        <is>
          <t>GVHD gọi báo cáo 1 và 3; sinh viên, hội đồng gọi API báo cáo; khách chưa đăng nhập; loại báo cáo không tồn tại</t>
        </is>
      </c>
      <c r="F15" s="18" t="inlineStr">
        <is>
          <t>GVHD: pham_vi = gvhd, báo cáo 3 chỉ một dòng của mình, tổng báo cáo 1 = 5; sinh viên, hội đồng 403; khách 401; loại lạ 404</t>
        </is>
      </c>
      <c r="G15" s="18" t="inlineStr">
        <is>
          <t>Máy cục bộ, 07/10/2026: GVHD: 1 dòng TS. Nguyễn Văn A, tổng 5; sinh viên 403, hội đồng 403; khách 401; loại lạ 404</t>
        </is>
      </c>
      <c r="H15" s="18" t="inlineStr">
        <is>
          <t>Đạt</t>
        </is>
      </c>
    </row>
    <row r="16">
      <c r="A16" s="18" t="inlineStr">
        <is>
          <t>TC-B7-14</t>
        </is>
      </c>
      <c r="B16" s="18" t="inlineStr">
        <is>
          <t>K7 · F5.2</t>
        </is>
      </c>
      <c r="C16" s="18" t="inlineStr">
        <is>
          <t>Xuất CSV</t>
        </is>
      </c>
      <c r="D16" s="18" t="inlineStr">
        <is>
          <t>Một lớp có tên chứa dấu phẩy và ngoặc kép; một mốc có tên bắt đầu bằng =HYPERLINK(</t>
        </is>
      </c>
      <c r="E16" s="18" t="inlineStr">
        <is>
          <t>Thư ký xuất báo cáo 1 và 2; đọc lại tệp bằng bộ đọc CSV; GVHD gọi xuất; gửi dinh_dang=xlsx</t>
        </is>
      </c>
      <c r="F16" s="18" t="inlineStr">
        <is>
          <t>200, text/csv; charset=UTF-8, tải về với tên bao-cao-&lt;loai&gt;_&lt;từ&gt;_&lt;đến&gt;.csv; có BOM UTF-8; mọi dòng đủ số cột, ô có dấu phẩy/ngoặc kép đọc lại đúng; ô bắt đầu bằng = được thêm dấu nháy đơn; ghi nhật ký EXPORT_REPORT; GVHD 403; xlsx 422</t>
        </is>
      </c>
      <c r="G16" s="18" t="inlineStr">
        <is>
          <t>Máy cục bộ, 07/10/2026: 200, đúng tiêu đề tệp, BOM efbbbf, 9 dòng đủ cột, ô dấu phẩy đúng, '=HYPERLINK(…) không thành công thức; 2 dòng EXPORT_REPORT; GVHD 403; xlsx 422</t>
        </is>
      </c>
      <c r="H16" s="18" t="inlineStr">
        <is>
          <t>Đạt</t>
        </is>
      </c>
    </row>
    <row r="17">
      <c r="A17" s="18" t="inlineStr">
        <is>
          <t>TC-B7-15</t>
        </is>
      </c>
      <c r="B17" s="18" t="inlineStr">
        <is>
          <t>K7 · Giao diện</t>
        </is>
      </c>
      <c r="C17" s="18" t="inlineStr">
        <is>
          <t>Biểu đồ trên trang chủ</t>
        </is>
      </c>
      <c r="D17" s="18" t="inlineStr">
        <is>
          <t>Chrome chạy ẩn</t>
        </is>
      </c>
      <c r="E17" s="18" t="inlineStr">
        <is>
          <t>Đăng nhập thukykhoa và gv_nguyen_van_a, mở khối "Báo cáo thống kê"</t>
        </is>
      </c>
      <c r="F17" s="18" t="inlineStr">
        <is>
          <t>Thư ký: 3 biểu đồ có chú giải, nhãn tổng, bảng số liệu và 3 nút Xuất CSV. GVHD: 3 biểu đồ trong phạm vi của mình, không có nút xuất. Không lỗi JavaScript</t>
        </is>
      </c>
      <c r="G17" s="18" t="inlineStr">
        <is>
          <t>Máy cục bộ, 07/10/2026: thư ký 3 biểu đồ, 3 nút xuất; GVHD 3 biểu đồ, 0 nút xuất; không lỗi JS; hồi quy giao diện 18/18, giao diện luồng 3 17/17</t>
        </is>
      </c>
      <c r="H17" s="18" t="inlineStr">
        <is>
          <t>Đạt</t>
        </is>
      </c>
    </row>
    <row r="18">
      <c r="A18" s="18" t="inlineStr">
        <is>
          <t>TC-B7-16</t>
        </is>
      </c>
      <c r="B18" s="18" t="inlineStr">
        <is>
          <t>K6 · F3.11</t>
        </is>
      </c>
      <c r="C18" s="18" t="inlineStr">
        <is>
          <t>Tải tệp về – đúng người, đúng tệp</t>
        </is>
      </c>
      <c r="D18" s="18" t="inlineStr">
        <is>
          <t>Đề tài 1 (in_progress) của sv_tran_van_b, GVHD gv_nguyen_van_a; thêm một thành viên nhóm; nhóm trưởng nộp một tệp PDF mới</t>
        </is>
      </c>
      <c r="E18" s="18" t="inlineStr">
        <is>
          <t>GET /api/v1/bao-cao-moc/{id}/tep bằng nhóm trưởng, thành viên, GVHD phụ trách, thư ký; so tệp tải về với tệp đã nộp; hội đồng tải tệp của một đề tài đủ điều kiện nghiệm thu</t>
        </is>
      </c>
      <c r="F18" s="18" t="inlineStr">
        <is>
          <t>Cả năm lần 200; tệp tải về giống hệt từng byte; Content-Type application/pdf, Content-Disposition attachment, X-Content-Type-Options nosniff; mỗi lần ghi DOWNLOAD_REPORT</t>
        </is>
      </c>
      <c r="G18" s="18" t="inlineStr">
        <is>
          <t>Máy cục bộ, 08/10/2026: nhóm trưởng, thành viên, GVHD, thư ký, hội đồng (đề tài completed): 200; giống từng byte; đúng ba tiêu đề; đủ dòng DOWNLOAD_REPORT
Web, 08/10/2026 (Ảnh 23, kịch bản Console anh23-tep-tren-web.js, 10/10 Đạt): nhóm trưởng sv_tran_van_b tải bản nộp 80 qua API: 200, application/pdf, bắt đầu bằng %PDF-</t>
        </is>
      </c>
      <c r="H18" s="18" t="inlineStr">
        <is>
          <t>Đạt</t>
        </is>
      </c>
    </row>
    <row r="19">
      <c r="A19" s="18" t="inlineStr">
        <is>
          <t>TC-B7-17</t>
        </is>
      </c>
      <c r="B19" s="18" t="inlineStr">
        <is>
          <t>K6 · BM4</t>
        </is>
      </c>
      <c r="C19" s="18" t="inlineStr">
        <is>
          <t>Tải tệp về – chặn truy cập chéo</t>
        </is>
      </c>
      <c r="D19" s="18" t="inlineStr">
        <is>
          <t>Như TC-B7-16; một sinh viên chưa thuộc nhóm nào</t>
        </is>
      </c>
      <c r="E19" s="18" t="inlineStr">
        <is>
          <t>Sinh viên nhóm khác, GVHD không phụ trách, hội đồng (đề tài đang thực hiện), khách gọi tải tệp; mã báo cáo không tồn tại; mã 0</t>
        </is>
      </c>
      <c r="F19" s="18" t="inlineStr">
        <is>
          <t>403, 403, 403, 401; 404; 422. Lần tải trái phép ghi UNAUTHORIZED_ACCESS</t>
        </is>
      </c>
      <c r="G19" s="18" t="inlineStr">
        <is>
          <t>Máy cục bộ, 08/10/2026: 403 / 403 / 403 / 401; 404; 422; 1 dòng UNAUTHORIZED_ACCESS
Web, 08/10/2026 (Ảnh 23, kịch bản Console anh23-tep-tren-web.js, 10/10 Đạt): sinh viên nhóm khác sv24100070 tải bản nộp 80: 403; khách: 401</t>
        </is>
      </c>
      <c r="H19" s="18" t="inlineStr">
        <is>
          <t>Đạt</t>
        </is>
      </c>
    </row>
    <row r="20">
      <c r="A20" s="18" t="inlineStr">
        <is>
          <t>TC-B7-18</t>
        </is>
      </c>
      <c r="B20" s="18" t="inlineStr">
        <is>
          <t>K6 · BM8</t>
        </is>
      </c>
      <c r="C20" s="18" t="inlineStr">
        <is>
          <t>Tải tệp về – đường dẫn và tên tệp độc hại</t>
        </is>
      </c>
      <c r="D20" s="18" t="inlineStr">
        <is>
          <t>Như TC-B7-16; sửa trực tiếp CSDL (rồi trả lại)</t>
        </is>
      </c>
      <c r="E20" s="18" t="inlineStr">
        <is>
          <t>(a) Xóa tệp vật lý rồi tải; (b) đặt duong_dan_tep = '../../.env' rồi tải; (c) đặt ten_tep_goc có ngoặc kép và xuống dòng kèm 'X-Hack: 1' rồi tải</t>
        </is>
      </c>
      <c r="F20" s="18" t="inlineStr">
        <is>
          <t>(a) 404, không lỗi 500; (b) 404, không trả nội dung tệp nào ngoài thư mục lưu; (c) tên tải về đã làm sạch, không chèn được tiêu đề HTTP</t>
        </is>
      </c>
      <c r="G20" s="18" t="inlineStr">
        <is>
          <t>Máy cục bộ, 08/10/2026: (a) 404; (b) 404, không có nội dung .env; (c) filename="bao _cao_X-Hack_ 1.pdf", không có tiêu đề X-Hack</t>
        </is>
      </c>
      <c r="H20" s="18" t="inlineStr">
        <is>
          <t>Đạt</t>
        </is>
      </c>
    </row>
    <row r="21">
      <c r="A21" s="18" t="inlineStr">
        <is>
          <t>TC-B7-19</t>
        </is>
      </c>
      <c r="B21" s="18" t="inlineStr">
        <is>
          <t>K6 · Giao diện</t>
        </is>
      </c>
      <c r="C21" s="18" t="inlineStr">
        <is>
          <t>Nút Tải tệp</t>
        </is>
      </c>
      <c r="D21" s="18" t="inlineStr">
        <is>
          <t>Chrome chạy ẩn; đề tài đủ điều kiện nghiệm thu dựng như TC-B7-16</t>
        </is>
      </c>
      <c r="E21" s="18" t="inlineStr">
        <is>
          <t>Nhóm trưởng và GVHD mở "Báo cáo theo mốc", hội đồng mở "Hồ sơ nghiệm thu"; bấm Tải tệp</t>
        </is>
      </c>
      <c r="F21" s="18" t="inlineStr">
        <is>
          <t>Mỗi bản nộp có nút Tải tệp; tải về đúng tệp PDF; không lỗi JavaScript</t>
        </is>
      </c>
      <c r="G21" s="18" t="inlineStr">
        <is>
          <t>Máy cục bộ, 08/10/2026: nhóm trưởng, GVHD: 200 application/pdf (%PDF-); hội đồng: 3 nút, 200; không lỗi JS</t>
        </is>
      </c>
      <c r="H21" s="18" t="inlineStr">
        <is>
          <t>Đạt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30" customWidth="1" min="4" max="4"/>
    <col width="52" customWidth="1" min="5" max="5"/>
    <col width="46" customWidth="1" min="6" max="6"/>
    <col width="40" customWidth="1" min="7" max="7"/>
    <col width="8" customWidth="1" min="8" max="8"/>
  </cols>
  <sheetData>
    <row r="1">
      <c r="A1" s="1" t="inlineStr">
        <is>
          <t>CA KIỂM THỬ BẢO MẬT BUỔI 8 – 12 RỦI RO BM1 – BM12 VÀ KHỐI K1, K8, K9</t>
        </is>
      </c>
    </row>
    <row r="2">
      <c r="A2" s="28" t="inlineStr">
        <is>
          <t>Mã ca</t>
        </is>
      </c>
      <c r="B2" s="28" t="inlineStr">
        <is>
          <t>Rủi ro / chức năng</t>
        </is>
      </c>
      <c r="C2" s="28" t="inlineStr">
        <is>
          <t>Loại</t>
        </is>
      </c>
      <c r="D2" s="28" t="inlineStr">
        <is>
          <t>Tiền đề</t>
        </is>
      </c>
      <c r="E2" s="28" t="inlineStr">
        <is>
          <t>Bước thực hiện</t>
        </is>
      </c>
      <c r="F2" s="28" t="inlineStr">
        <is>
          <t>Kết quả mong đợi</t>
        </is>
      </c>
      <c r="G2" s="28" t="inlineStr">
        <is>
          <t>Kết quả thực tế</t>
        </is>
      </c>
      <c r="H2" s="28" t="inlineStr">
        <is>
          <t>KL</t>
        </is>
      </c>
    </row>
    <row r="3">
      <c r="A3" s="29" t="inlineStr">
        <is>
          <t>TC-B8-01</t>
        </is>
      </c>
      <c r="B3" s="29" t="inlineStr">
        <is>
          <t>BM1 · F1.6, F2.9, F5.1, F5.3</t>
        </is>
      </c>
      <c r="C3" s="29" t="inlineStr">
        <is>
          <t>Tiêm nhiễm SQL</t>
        </is>
      </c>
      <c r="D3" s="29" t="inlineStr">
        <is>
          <t>Đăng nhập thukykhoa; kịch bản anh16-sql-injection-tren-web.js</t>
        </is>
      </c>
      <c r="E3" s="29" t="inlineStr">
        <is>
          <t>Gửi ' OR '1'='1 và '; DROP TABLE de_tai;-- vào ô tìm kiếm người dùng (q) và đề tài (tu_khoa); 1 OR 1=1 vào mã trên URL; thukykhoa' -- vào tên đăng nhập; chuỗi tiêm vào trang_thai, vai_tro, sap_xep, huong, tu_ngay; size=1000000; đếm bản ghi trước và sau</t>
        </is>
      </c>
      <c r="F3" s="29" t="inlineStr">
        <is>
          <t>Tìm kiếm trả 200 với 0 kết quả; URL 400/404; tên đăng nhập 401; tham số lọc, sắp xếp, ngày 422; size bị hạ về 100 hoặc 422; không phản hồi nào chứa thông báo lỗi SQL; số bản ghi không đổi</t>
        </is>
      </c>
      <c r="G3" s="29" t="inlineStr">
        <is>
          <t>Máy cục bộ, 09/10/2026: 14/14 Đạt: q và tu_khoa 200 – 0/235 người, 0/88 đề tài; URL 400; tên đăng nhập 401; 6 tham số 422; size 100 dòng / 422; 235 → 235, 88 → 88
Web, 09/10/2026: 14/14 Đạt – q, tu_khoa 200 với 0/227 người, 0/86 đề tài; URL 400; tên đăng nhập 401; 6 tham số 422; size 100 dòng / 422; 227 → 227</t>
        </is>
      </c>
      <c r="H3" s="29" t="inlineStr">
        <is>
          <t>Đạt</t>
        </is>
      </c>
    </row>
    <row r="4">
      <c r="A4" s="29" t="inlineStr">
        <is>
          <t>TC-B8-02</t>
        </is>
      </c>
      <c r="B4" s="29" t="inlineStr">
        <is>
          <t>BM2 · F1.5</t>
        </is>
      </c>
      <c r="C4" s="29" t="inlineStr">
        <is>
          <t>XSS lưu trữ</t>
        </is>
      </c>
      <c r="D4" s="29" t="inlineStr">
        <is>
          <t>sv_tran_van_b là nhóm trưởng đề tài 1; kịch bản anh17-xss-tren-web.js</t>
        </is>
      </c>
      <c r="E4" s="29" t="inlineStr">
        <is>
          <t>Bước 1: PATCH /api/v1/nguoi-dung/toi ho_ten = &lt;img src=x onerror=alert('XSS')&gt;&lt;script&gt;alert(1)&lt;/script&gt;; tải lại trang chủ, bấm Xem nhóm. Bước 2: trả lại họ tên cũ</t>
        </is>
      </c>
      <c r="F4" s="29" t="inlineStr">
        <is>
          <t>Lưu 200; HTML trang chủ chứa &amp;lt;img ... (đã mã hóa), không có thẻ &lt;img src=x&gt;; danh sách nhóm hiện nguyên chuỗi dạng văn bản; không bật hộp thoại; có CSP script-src 'self'</t>
        </is>
      </c>
      <c r="G4" s="29" t="inlineStr">
        <is>
          <t>Máy cục bộ, 09/10/2026: 4/4 Đạt: lưu 200; HTML đã mã hóa; API nhóm trả nguyên văn, giao diện gán bằng textContent; có CSP. Bước 2 trả lại họ tên 200
Web, 10/10/2026: danh sách thành viên nhóm hiện nguyên chuỗi &lt;img src=x onerror=alert('XSS')&gt;&lt;script&gt;alert(1)&lt;/script&gt; dạng văn bản, không bật hộp thoại</t>
        </is>
      </c>
      <c r="H4" s="29" t="inlineStr">
        <is>
          <t>Đạt</t>
        </is>
      </c>
    </row>
    <row r="5">
      <c r="A5" s="29" t="inlineStr">
        <is>
          <t>TC-B8-03</t>
        </is>
      </c>
      <c r="B5" s="29" t="inlineStr">
        <is>
          <t>BM3 · mọi điểm cuối đổi dữ liệu</t>
        </is>
      </c>
      <c r="C5" s="29" t="inlineStr">
        <is>
          <t>CSRF – nguồn lạ bị chặn</t>
        </is>
      </c>
      <c r="D5" s="29" t="inlineStr">
        <is>
          <t>Đã đăng nhập sv_tran_van_b (cookie phiên hợp lệ)</t>
        </is>
      </c>
      <c r="E5" s="29" t="inlineStr">
        <is>
          <t>Gửi POST/PATCH/DELETE kèm Origin https://evil.example, Origin null, khác cổng, tên miền con, tên miền chứa chuỗi; Referer trang lạ khi không có Origin: đăng nhập, sửa hồ sơ, tạo đề tài, đánh dấu thông báo, xóa, đăng xuất</t>
        </is>
      </c>
      <c r="F5" s="29" t="inlineStr">
        <is>
          <t>403 CSRF_REJECTED kèm requestId ở mọi lần; dữ liệu không đổi; phiên còn nguyên; khách gửi từ trang lạ cũng 403 (chặn trước bộ lọc quyền)</t>
        </is>
      </c>
      <c r="G5" s="29" t="inlineStr">
        <is>
          <t>Máy cục bộ, 09/10/2026: 26/26 Đạt (thu-bm3.sh): mọi nguồn lạ 403; email, số đề tài, thông báo không đổi; phiên vẫn 200 sau lệnh đăng xuất giả mạo</t>
        </is>
      </c>
      <c r="H5" s="29" t="inlineStr">
        <is>
          <t>Đạt</t>
        </is>
      </c>
    </row>
    <row r="6">
      <c r="A6" s="29" t="inlineStr">
        <is>
          <t>TC-B8-04</t>
        </is>
      </c>
      <c r="B6" s="29" t="inlineStr">
        <is>
          <t>BM3 · Giao diện</t>
        </is>
      </c>
      <c r="C6" s="29" t="inlineStr">
        <is>
          <t>CSRF – trang tấn công từ máy</t>
        </is>
      </c>
      <c r="D6" s="29" t="inlineStr">
        <is>
          <t>Trang bm3-trang-tan-cong.html mở bằng file://; đã đăng nhập trên trình duyệt</t>
        </is>
      </c>
      <c r="E6" s="29" t="inlineStr">
        <is>
          <t>Bấm nút gửi form POST /api/v1/auth/dang-xuat sang hệ thống; quay lại trang chủ</t>
        </is>
      </c>
      <c r="F6" s="29" t="inlineStr">
        <is>
          <t>Trình duyệt gửi Origin null, cookie phiên SameSite=Lax không được gửi; hệ thống trả 403 CSRF_REJECTED; người dùng vẫn đăng nhập</t>
        </is>
      </c>
      <c r="G6" s="29" t="inlineStr">
        <is>
          <t>Máy cục bộ, 09/10/2026: Chrome chạy ẩn: Origin null, ci_session bị chặn (SameSite Lax), 403 CSRF_REJECTED; vẫn đăng nhập (200)
Web, 10/10/2026: trang tấn công mở từ máy gửi POST /api/v1/auth/dang-xuat và POST /api/v1/de-tai: cả hai 403 CSRF_REJECTED kèm requestId</t>
        </is>
      </c>
      <c r="H6" s="29" t="inlineStr">
        <is>
          <t>Đạt</t>
        </is>
      </c>
    </row>
    <row r="7">
      <c r="A7" s="29" t="inlineStr">
        <is>
          <t>TC-B8-05</t>
        </is>
      </c>
      <c r="B7" s="29" t="inlineStr">
        <is>
          <t>BM3 · Hồi quy</t>
        </is>
      </c>
      <c r="C7" s="29" t="inlineStr">
        <is>
          <t>Giao diện cùng trang vẫn chạy</t>
        </is>
      </c>
      <c r="D7" s="29" t="inlineStr">
        <is>
          <t>Chrome chạy ẩn</t>
        </is>
      </c>
      <c r="E7" s="29" t="inlineStr">
        <is>
          <t>Đăng nhập bằng form, bấm Đã đọc, sửa hồ sơ, Đăng xuất; ghi lại header Origin trình duyệt gửi</t>
        </is>
      </c>
      <c r="F7" s="29" t="inlineStr">
        <is>
          <t>Trình duyệt gửi Origin của chính trang; cả bốn thao tác thành công (200/204)</t>
        </is>
      </c>
      <c r="G7" s="29" t="inlineStr">
        <is>
          <t>Máy cục bộ, 09/10/2026: Origin http://localhost:8090; đăng nhập 200, đã đọc 200, sửa hồ sơ 200, đăng xuất 204</t>
        </is>
      </c>
      <c r="H7" s="29" t="inlineStr">
        <is>
          <t>Đạt</t>
        </is>
      </c>
    </row>
    <row r="8">
      <c r="A8" s="29" t="inlineStr">
        <is>
          <t>TC-B8-06</t>
        </is>
      </c>
      <c r="B8" s="29" t="inlineStr">
        <is>
          <t>BM5 · ma trận</t>
        </is>
      </c>
      <c r="C8" s="29" t="inlineStr">
        <is>
          <t>Gọi trực tiếp mọi ô "Không"</t>
        </is>
      </c>
      <c r="D8" s="29" t="inlineStr">
        <is>
          <t>Năm vai trò: khách, sinh viên, GVHD, thư ký, hội đồng; kịch bản anh20-phan-quyen-tren-web.js</t>
        </is>
      </c>
      <c r="E8" s="29" t="inlineStr">
        <is>
          <t>Chạy 33 ca TC-PQ (sheet Ca kiem thu phan quyen) với đúng route trong Routes.php, mã đối tượng 999999</t>
        </is>
      </c>
      <c r="F8" s="29" t="inlineStr">
        <is>
          <t>Khách 401, vai trò không có quyền 403 ở mọi điểm cuối, không trả dữ liệu; G5 (điểm cuối nội bộ chưa hiện thực) 404</t>
        </is>
      </c>
      <c r="G8" s="29" t="inlineStr">
        <is>
          <t>Máy cục bộ, 09/10/2026: 33/33 ca Đạt, 153 lần gọi, 0 lần sai mã
Web, 10/10/2026: 33/33 ca Đạt, 153 lần gọi, 0 lần sai mã</t>
        </is>
      </c>
      <c r="H8" s="29" t="inlineStr">
        <is>
          <t>Đạt</t>
        </is>
      </c>
    </row>
    <row r="9">
      <c r="A9" s="29" t="inlineStr">
        <is>
          <t>TC-B8-07</t>
        </is>
      </c>
      <c r="B9" s="29" t="inlineStr">
        <is>
          <t>BM7 · F1.2</t>
        </is>
      </c>
      <c r="C9" s="29" t="inlineStr">
        <is>
          <t>Mã phiên đổi sau đăng nhập</t>
        </is>
      </c>
      <c r="D9" s="29" t="inlineStr">
        <is>
          <t>Trình duyệt chưa đăng nhập</t>
        </is>
      </c>
      <c r="E9" s="29" t="inlineStr">
        <is>
          <t>Mở /dang-nhap, ghi mã phiên; đăng nhập; ghi mã phiên; đăng xuất; gửi lại mã phiên cũ</t>
        </is>
      </c>
      <c r="F9" s="29" t="inlineStr">
        <is>
          <t>Mã phiên sau đăng nhập khác trước; sau đăng xuất mã cũ bị từ chối 401</t>
        </is>
      </c>
      <c r="G9" s="29" t="inlineStr">
        <is>
          <t>Máy cục bộ, 09/10/2026: mã phiên khác nhau (32 ký tự); đăng xuất 204; dùng lại mã cũ 401</t>
        </is>
      </c>
      <c r="H9" s="29" t="inlineStr">
        <is>
          <t>Đạt</t>
        </is>
      </c>
    </row>
    <row r="10">
      <c r="A10" s="29" t="inlineStr">
        <is>
          <t>TC-B8-08</t>
        </is>
      </c>
      <c r="B10" s="29" t="inlineStr">
        <is>
          <t>BM9</t>
        </is>
      </c>
      <c r="C10" s="29" t="inlineStr">
        <is>
          <t>Lỗi không lộ thông tin nội bộ</t>
        </is>
      </c>
      <c r="D10" s="29" t="inlineStr">
        <is>
          <t>Môi trường production trên web; kịch bản anh24-loi-khong-lo-chi-tiet-tren-web.js</t>
        </is>
      </c>
      <c r="E10" s="29" t="inlineStr">
        <is>
          <t>Gửi JSON hỏng, thiếu trường, đường dẫn API không tồn tại, ký tự lạ trên URL, mã không phải số, phương thức không có route, truy cập thẳng app/Config, .env; mở trang không tồn tại</t>
        </is>
      </c>
      <c r="F10" s="29" t="inlineStr">
        <is>
          <t>Mọi phản hồi mã 4xx, cấu trúc lỗi chung kèm requestId hoặc thân rỗng; không có đường dẫn tệp, vết gọi hàm, câu SQL, tên lớp framework</t>
        </is>
      </c>
      <c r="G10" s="29" t="inlineStr">
        <is>
          <t>Web, 10/10/2026: 10/10 Đạt – JSON hỏng, thiếu trường 422 kèm requestId; đường dẫn không tồn tại, ký tự lạ, mã không phải số, phương thức sai 404/400 thân rỗng; chưa đăng nhập 401 kèm requestId; /app/Config/Database.php chuyển sang trang 403 của nhà cung cấp, /.env máy chủ cắt kết nối (ERR_EMPTY_RESPONSE); trang không tồn tại 404 trang lỗi chung</t>
        </is>
      </c>
      <c r="H10" s="29" t="inlineStr">
        <is>
          <t>Đạt</t>
        </is>
      </c>
    </row>
    <row r="11">
      <c r="A11" s="29" t="inlineStr">
        <is>
          <t>TC-B8-09</t>
        </is>
      </c>
      <c r="B11" s="29" t="inlineStr">
        <is>
          <t>BM10 · F1.2</t>
        </is>
      </c>
      <c r="C11" s="29" t="inlineStr">
        <is>
          <t>Dò mật khẩu – 10 lần sai liên tiếp</t>
        </is>
      </c>
      <c r="D11" s="29" t="inlineStr">
        <is>
          <t>Không có lần đăng nhập sai nào trong 15 phút trước; kịch bản anh25-do-mat-khau-tren-web.js</t>
        </is>
      </c>
      <c r="E11" s="29" t="inlineStr">
        <is>
          <t>Gửi 10 lần sai mật khẩu sv24100070; lần 11 đúng mật khẩu; lần 12 tài khoản khác cùng máy; xem nhat_ky_he_thong</t>
        </is>
      </c>
      <c r="F11" s="29" t="inlineStr">
        <is>
          <t>Lần 1 – 5: 401; lần 6 – 12: 429 TOO_MANY_ATTEMPTS kèm Retry-After; nhật ký có 5 LOGIN_FAILED và các dòng LOGIN_BLOCKED</t>
        </is>
      </c>
      <c r="G11" s="29" t="inlineStr">
        <is>
          <t>Máy cục bộ, 09/10/2026: 12/12 Đạt: 5 × 401, 7 × 429, Retry-After 898 – 899; nhật ký 5 LOGIN_FAILED, 7 LOGIN_BLOCKED
Web, 10/10/2026: 12/12 Đạt – lần 1 – 5: 401; lần 6 – 10: 429 TOO_MANY_ATTEMPTS, Retry-After 895 – 897; lần 11 đúng mật khẩu 429; tài khoản khác cùng máy 429</t>
        </is>
      </c>
      <c r="H11" s="29" t="inlineStr">
        <is>
          <t>Đạt</t>
        </is>
      </c>
    </row>
    <row r="12">
      <c r="A12" s="29" t="inlineStr">
        <is>
          <t>TC-B8-10</t>
        </is>
      </c>
      <c r="B12" s="29" t="inlineStr">
        <is>
          <t>BM10 · F1.2</t>
        </is>
      </c>
      <c r="C12" s="29" t="inlineStr">
        <is>
          <t>Dò mật khẩu – theo tài khoản, không lộ tài khoản</t>
        </is>
      </c>
      <c r="D12" s="29" t="inlineStr">
        <is>
          <t>CSDL thử; chèn dòng LOGIN_FAILED từ IP khác</t>
        </is>
      </c>
      <c r="E12" s="29" t="inlineStr">
        <is>
          <t>(a) 5 lần sai của sv_tran_van_b từ IP khác rồi đăng nhập đúng; (b) 4 lần sai rồi đăng nhập đúng, thêm 1 lần sai; (c) 5 lần sai với tên không tồn tại; (d) tên không tồn tại khác; (e) tài khoản bị khóa chưa vượt giới hạn</t>
        </is>
      </c>
      <c r="F12" s="29" t="inlineStr">
        <is>
          <t>(a) 429 theo tài khoản, tài khoản khác 200; (b) 200 cả hai lần (đăng nhập đúng xóa bộ đếm); (c) 429 như tài khoản thật; (d) 401; (e) 403 ACCOUNT_LOCKED</t>
        </is>
      </c>
      <c r="G12" s="29" t="inlineStr">
        <is>
          <t>Máy cục bộ, 09/10/2026: thu-bm10.sh 24/24 Đạt: (a) 429 / 200; (b) 200 / 200; (c) 429; (d) 401; (e) 403</t>
        </is>
      </c>
      <c r="H12" s="29" t="inlineStr">
        <is>
          <t>Đạt</t>
        </is>
      </c>
    </row>
    <row r="13">
      <c r="A13" s="29" t="inlineStr">
        <is>
          <t>TC-B8-11</t>
        </is>
      </c>
      <c r="B13" s="29" t="inlineStr">
        <is>
          <t>BM10</t>
        </is>
      </c>
      <c r="C13" s="29" t="inlineStr">
        <is>
          <t>Dò mật khẩu – hết hạn chặn</t>
        </is>
      </c>
      <c r="D13" s="29" t="inlineStr">
        <is>
          <t>Như TC-B8-10</t>
        </is>
      </c>
      <c r="E13" s="29" t="inlineStr">
        <is>
          <t>Lùi thời điểm 5 lần sai quá 15 phút; đặt 1 lần sai cách 700 giây và 4 lần cách 100 giây</t>
        </is>
      </c>
      <c r="F13" s="29" t="inlineStr">
        <is>
          <t>Quá 15 phút đăng nhập lại 200; Retry-After tính từ lần sai thứ 5 tính từ mới nhất (khoảng 200 giây)</t>
        </is>
      </c>
      <c r="G13" s="29" t="inlineStr">
        <is>
          <t>Máy cục bộ, 09/10/2026: quá 15 phút: 200; Retry-After 196 – 200; 4 lần sai: chưa chặn (200)</t>
        </is>
      </c>
      <c r="H13" s="29" t="inlineStr">
        <is>
          <t>Đạt</t>
        </is>
      </c>
    </row>
    <row r="14">
      <c r="A14" s="29" t="inlineStr">
        <is>
          <t>TC-B8-12</t>
        </is>
      </c>
      <c r="B14" s="29" t="inlineStr">
        <is>
          <t>BM11</t>
        </is>
      </c>
      <c r="C14" s="29" t="inlineStr">
        <is>
          <t>Bí mật trong lịch sử repository</t>
        </is>
      </c>
      <c r="D14" s="29" t="inlineStr">
        <is>
          <t>Repository nhóm, mọi nhánh (66 commit)</t>
        </is>
      </c>
      <c r="E14" s="29" t="inlineStr">
        <is>
          <t>Chạy lệnh rà soát của tài liệu kỹ thuật (git log --all -p | grep password=, secret=, api_key, khóa riêng; tìm tệp .env)</t>
        </is>
      </c>
      <c r="F14" s="29" t="inlineStr">
        <is>
          <t>Không có bí mật thật; .env chưa từng được commit</t>
        </is>
      </c>
      <c r="G14" s="29" t="inlineStr">
        <is>
          <t>Máy cục bộ, 10/10/2026 (kịch bản bm11-ra-soat-lich-su.sh, 69 commit): .env 0 lần commit, có trong .gitignore; 6 dòng khớp đều không phải bí mật: 2 dòng type: apiKey trong đặc tả OpenAPI, 3 dòng mẫu đã comment trong tệp env của CodeIgniter, 1 dòng chữ giữ chỗ trong .env.example (6 từ tiếng Việt không dấu nối bằng _)</t>
        </is>
      </c>
      <c r="H14" s="29" t="inlineStr">
        <is>
          <t>Đạt</t>
        </is>
      </c>
    </row>
    <row r="15">
      <c r="A15" s="29" t="inlineStr">
        <is>
          <t>TC-B8-13</t>
        </is>
      </c>
      <c r="B15" s="29" t="inlineStr">
        <is>
          <t>BM12</t>
        </is>
      </c>
      <c r="C15" s="29" t="inlineStr">
        <is>
          <t>Thẻ tiêu đề bảo mật</t>
        </is>
      </c>
      <c r="D15" s="29" t="inlineStr">
        <is>
          <t>Kịch bản anh26-the-tieu-de-bao-mat-tren-web.js và lệnh curl -I</t>
        </is>
      </c>
      <c r="E15" s="29" t="inlineStr">
        <is>
          <t>curl -I trang gốc; fetch /dang-nhap và /api/v1/health, đọc tiêu đề phản hồi; đếm script/style viết thẳng trong HTML</t>
        </is>
      </c>
      <c r="F15" s="29" t="inlineStr">
        <is>
          <t>HTTPS; Strict-Transport-Security max-age=31536000; includeSubDomains; X-Content-Type-Options nosniff; X-Frame-Options DENY; Referrer-Policy strict-origin-when-cross-origin; CSP script-src 'self', không unsafe-inline, frame-ancestors 'none'; 0 chỗ viết thẳng</t>
        </is>
      </c>
      <c r="G15" s="29" t="inlineStr">
        <is>
          <t>Máy cục bộ, 09/10/2026: curl -I /: 200 đủ 5 thẻ; /dang-nhap, /api/v1/health đủ 5 thẻ (HTTP vì máy cục bộ); HTML không còn script/style viết thẳng ngoài thanh gỡ lỗi của môi trường development
Web, 09/10/2026: curl -I / → 200, đủ 5 thẻ, cookie phiên secure; HttpOnly; SameSite=Lax
Web, 10/10/2026: HTTPS; /dang-nhap và /api/v1/health đủ 5 thẻ; 0 chỗ script/style viết thẳng</t>
        </is>
      </c>
      <c r="H15" s="29" t="inlineStr">
        <is>
          <t>Đạt</t>
        </is>
      </c>
    </row>
    <row r="16">
      <c r="A16" s="29" t="inlineStr">
        <is>
          <t>TC-B8-14</t>
        </is>
      </c>
      <c r="B16" s="29" t="inlineStr">
        <is>
          <t>BM12 · Giao diện</t>
        </is>
      </c>
      <c r="C16" s="29" t="inlineStr">
        <is>
          <t>CSP không làm hỏng giao diện</t>
        </is>
      </c>
      <c r="D16" s="29" t="inlineStr">
        <is>
          <t>Chrome chạy ẩn</t>
        </is>
      </c>
      <c r="E16" s="29" t="inlineStr">
        <is>
          <t>Đăng nhập lần lượt sv_tran_van_b, gv_nguyen_van_a, thukykhoa, hd_pham_van_d; mở trang chủ, bấm Báo cáo theo mốc, Điểm nghiệm thu, Xem nhóm; ghi mọi vi phạm CSP, lỗi JavaScript</t>
        </is>
      </c>
      <c r="F16" s="29" t="inlineStr">
        <is>
          <t>Mọi khối hiển thị, CSS áp dụng, biểu đồ có ô màu chú giải; không có vi phạm CSP nào từ mã của hệ thống; không lỗi JavaScript</t>
        </is>
      </c>
      <c r="G16" s="29" t="inlineStr">
        <is>
          <t>Máy cục bộ, 09/10/2026: đủ 4/5/9/4 khối; nền và ô màu đúng; 3 biểu đồ; vi phạm CSP chỉ đến từ thanh gỡ lỗi development (debugbar, kint), không có ở production; không lỗi JavaScript</t>
        </is>
      </c>
      <c r="H16" s="29" t="inlineStr">
        <is>
          <t>Đạt</t>
        </is>
      </c>
    </row>
    <row r="17">
      <c r="A17" s="29" t="inlineStr">
        <is>
          <t>TC-B8-15</t>
        </is>
      </c>
      <c r="B17" s="29" t="inlineStr">
        <is>
          <t>K8 · F5.3</t>
        </is>
      </c>
      <c r="C17" s="29" t="inlineStr">
        <is>
          <t>Nhật ký – giờ và lọc theo ngày</t>
        </is>
      </c>
      <c r="D17" s="29" t="inlineStr">
        <is>
          <t>CSDL thử đặt múi giờ máy chủ -07:00 như InfinityFree; thư ký đăng nhập</t>
        </is>
      </c>
      <c r="E17" s="29" t="inlineStr">
        <is>
          <t>GET /api/v1/nhat-ky-he-thong?size=1&amp;hanh_dong=LOGIN_SUCCESS; lọc tu_ngay = den_ngay = hôm nay</t>
        </is>
      </c>
      <c r="F17" s="29" t="inlineStr">
        <is>
          <t>Giờ created_at của dòng mới nhất khớp giờ Việt Nam (lệch ≤ 2 phút); lọc theo hôm nay có dòng đăng nhập vừa ghi</t>
        </is>
      </c>
      <c r="G17" s="29" t="inlineStr">
        <is>
          <t>Máy cục bộ, 14/10/2026: giờ nhật ký 10:23 = giờ Việt Nam 10:23 (trước khi sửa lệch 14 tiếng); lọc hôm nay có dòng
Web, 14/10/2026 (kiểm tay): dòng đăng nhập mới hiện đúng giờ hiện tại, không còn lệch 14 tiếng</t>
        </is>
      </c>
      <c r="H17" s="29" t="inlineStr">
        <is>
          <t>Đạt</t>
        </is>
      </c>
    </row>
    <row r="18">
      <c r="A18" s="29" t="inlineStr">
        <is>
          <t>TC-B8-16</t>
        </is>
      </c>
      <c r="B18" s="29" t="inlineStr">
        <is>
          <t>K8, K5 · Giao diện</t>
        </is>
      </c>
      <c r="C18" s="29" t="inlineStr">
        <is>
          <t>Tra cứu không có kết quả</t>
        </is>
      </c>
      <c r="D18" s="29" t="inlineStr">
        <is>
          <t>Chrome chạy ẩn, thư ký đăng nhập</t>
        </is>
      </c>
      <c r="E18" s="29" t="inlineStr">
        <is>
          <t>Khối Tra cứu nhật ký và khối Tìm kiếm đề tài: nhập từ khóa không có, bấm tìm</t>
        </is>
      </c>
      <c r="F18" s="29" t="inlineStr">
        <is>
          <t>Không hiện "Trang 1/0"; hiện "Không có … phù hợp" và "Không có trang"</t>
        </is>
      </c>
      <c r="G18" s="29" t="inlineStr">
        <is>
          <t>Máy cục bộ, 14/10/2026: nhật ký: "Không có nhật ký phù hợp. | Không có trang"; đề tài: "Không tìm thấy đề tài phù hợp. | Không có trang"
Web, 14/10/2026 (kiểm tay): tra cứu nhật ký không có kết quả hiện "Không có nhật ký phù hợp", không còn "Trang 1/0"</t>
        </is>
      </c>
      <c r="H18" s="29" t="inlineStr">
        <is>
          <t>Đạt</t>
        </is>
      </c>
    </row>
    <row r="19">
      <c r="A19" s="29" t="inlineStr">
        <is>
          <t>TC-B8-17</t>
        </is>
      </c>
      <c r="B19" s="29" t="inlineStr">
        <is>
          <t>K9 · F6.3</t>
        </is>
      </c>
      <c r="C19" s="29" t="inlineStr">
        <is>
          <t>Nhắc hạn khi sinh viên mở thông báo</t>
        </is>
      </c>
      <c r="D19" s="29" t="inlineStr">
        <is>
          <t>Đề tài 1 (in_progress) có mốc hết hạn sau 24 giờ, mốc sau 72 giờ, mốc đã quá hạn, đều chưa nộp</t>
        </is>
      </c>
      <c r="E19" s="29" t="inlineStr">
        <is>
          <t>Nhóm trưởng, thành viên, GVHD lần lượt GET /api/v1/thong-bao; nhóm trưởng mở lại 3 lần</t>
        </is>
      </c>
      <c r="F19" s="29" t="inlineStr">
        <is>
          <t>Nhóm trưởng và thành viên mỗi người 1 thông báo "Nhắc hạn nộp báo cáo" cho mốc 24 giờ; không nhắc mốc 72 giờ, mốc quá hạn; mở lại không nhắc trùng; GVHD không nhận</t>
        </is>
      </c>
      <c r="G19" s="29" t="inlineStr">
        <is>
          <t>Máy cục bộ, 14/10/2026: nhóm trưởng 1, thành viên 1 (chỉ sau khi mở thông báo), mốc 72 giờ 0, mốc quá hạn 0, mở lại vẫn 1, GVHD 0</t>
        </is>
      </c>
      <c r="H19" s="29" t="inlineStr">
        <is>
          <t>Đạt</t>
        </is>
      </c>
    </row>
    <row r="20">
      <c r="A20" s="29" t="inlineStr">
        <is>
          <t>TC-B8-18</t>
        </is>
      </c>
      <c r="B20" s="29" t="inlineStr">
        <is>
          <t>K9 · F6.3</t>
        </is>
      </c>
      <c r="C20" s="29" t="inlineStr">
        <is>
          <t>Điểm cuối nội bộ nhắc hạn</t>
        </is>
      </c>
      <c r="D20" s="29" t="inlineStr">
        <is>
          <t>Như TC-B8-17; khóa noibo.khoa đặt trên máy chủ thử</t>
        </is>
      </c>
      <c r="E20" s="29" t="inlineStr">
        <is>
          <t>POST /api/v1/internal/thong-bao/nhac-han: khách, sinh viên, thư ký không có khóa; khóa sai; khóa đúng; gọi lại lần hai</t>
        </is>
      </c>
      <c r="F20" s="29" t="inlineStr">
        <is>
          <t>Khách 401, đã đăng nhập 403, khóa sai 401; khóa đúng 200 nhắc đủ 5 thành viên đề tài 1, không tạo trùng; lần hai không tạo thêm; ghi REMIND_DEADLINE</t>
        </is>
      </c>
      <c r="G20" s="29" t="inlineStr">
        <is>
          <t>Máy cục bộ, 14/10/2026: 401 / 403 / 403 / 401; khóa đúng 200 (52 cặp đề tài – mốc, 132 thông báo), đề tài 1: 2 → 5; lần hai vẫn 5; có REMIND_DEADLINE</t>
        </is>
      </c>
      <c r="H20" s="29" t="inlineStr">
        <is>
          <t>Đạt</t>
        </is>
      </c>
    </row>
    <row r="21">
      <c r="A21" s="29" t="inlineStr">
        <is>
          <t>TC-B8-19</t>
        </is>
      </c>
      <c r="B21" s="29" t="inlineStr">
        <is>
          <t>K1 · F1.3</t>
        </is>
      </c>
      <c r="C21" s="29" t="inlineStr">
        <is>
          <t>Quên mật khẩu – gửi yêu cầu</t>
        </is>
      </c>
      <c r="D21" s="29" t="inlineStr">
        <is>
          <t>Tài khoản sv24100071 có email thật trong CSDL</t>
        </is>
      </c>
      <c r="E21" s="29" t="inlineStr">
        <is>
          <t>POST /api/v1/auth/quen-mat-khau với email sai định dạng, email không tồn tại, email có thật (4 lần), kèm Origin trang lạ</t>
        </is>
      </c>
      <c r="F21" s="29" t="inlineStr">
        <is>
          <t>422; hai trường hợp còn lại cùng một phản hồi 200; thư ký khoa nhận thông báo, tối đa 3 lần mỗi giờ; Origin lạ 403</t>
        </is>
      </c>
      <c r="G21" s="29" t="inlineStr">
        <is>
          <t>Máy cục bộ, 14/10/2026: 422; 200 và 200 giống hệt nhau; thư ký nhận 1 rồi dừng ở 3 thông báo; Origin lạ 403</t>
        </is>
      </c>
      <c r="H21" s="29" t="inlineStr">
        <is>
          <t>Đạt</t>
        </is>
      </c>
    </row>
    <row r="22">
      <c r="A22" s="29" t="inlineStr">
        <is>
          <t>TC-B8-20</t>
        </is>
      </c>
      <c r="B22" s="29" t="inlineStr">
        <is>
          <t>K1 · F1.3, F1.6</t>
        </is>
      </c>
      <c r="C22" s="29" t="inlineStr">
        <is>
          <t>Cấp mã và đặt lại mật khẩu</t>
        </is>
      </c>
      <c r="D22" s="29" t="inlineStr">
        <is>
          <t>Như TC-B8-19</t>
        </is>
      </c>
      <c r="E22" s="29" t="inlineStr">
        <is>
          <t>Khách, sinh viên, thư ký gọi POST /nguoi-dung/{id}/ma-dat-lai; xem CSDL và nhật ký; đặt lại bằng mã cũ, mật khẩu ngắn, mã đúng viết thường bỏ dấu gạch; đăng nhập; dùng lại mã; mã hết hạn; nhập sai 6 lần; đặt lại khi tài khoản đang bị chặn đăng nhập</t>
        </is>
      </c>
      <c r="F22" s="29" t="inlineStr">
        <is>
          <t>401 / 403 / 201 (mã XXXX-XXXX), id không tồn tại 404; CSDL chỉ có bản băm 64 ký tự, nhật ký không chứa mã; mã cũ 422; mật khẩu ngắn 422; mã đúng 200; mật khẩu mới 200, cũ 401; dùng lại 422; hết hạn 422; lần 6 sai 429; đặt lại xong bộ đếm tài khoản về 0</t>
        </is>
      </c>
      <c r="G22" s="29" t="inlineStr">
        <is>
          <t>Máy cục bộ, 14/10/2026: thu-k189.sh 50/50 (gồm 21 kiểm tra của ca này): đủ các mã như mong đợi</t>
        </is>
      </c>
      <c r="H22" s="29" t="inlineStr">
        <is>
          <t>Đạt</t>
        </is>
      </c>
    </row>
    <row r="23">
      <c r="A23" s="29" t="inlineStr">
        <is>
          <t>TC-B8-21</t>
        </is>
      </c>
      <c r="B23" s="29" t="inlineStr">
        <is>
          <t>K1 · Giao diện</t>
        </is>
      </c>
      <c r="C23" s="29" t="inlineStr">
        <is>
          <t>Quên mật khẩu trên giao diện</t>
        </is>
      </c>
      <c r="D23" s="29" t="inlineStr">
        <is>
          <t>Chrome chạy ẩn</t>
        </is>
      </c>
      <c r="E23" s="29" t="inlineStr">
        <is>
          <t>Trang đăng nhập bấm "Quên mật khẩu?", gửi email; nhập mã sai; nhập mật khẩu không khớp; thư ký tìm sv24100071, bấm "Cấp mã"; nhập mã đúng; đăng nhập bằng mật khẩu mới</t>
        </is>
      </c>
      <c r="F23" s="29" t="inlineStr">
        <is>
          <t>Mục quên mật khẩu ẩn lúc đầu; thông báo gửi yêu cầu màu xanh; báo mã sai, báo không khớp; thư ký thấy mã XXXX-XXXX và giờ hết hạn; đặt lại xong quay về đăng nhập; đăng nhập được; không lỗi JavaScript, không vi phạm CSP</t>
        </is>
      </c>
      <c r="G23" s="29" t="inlineStr">
        <is>
          <t>Máy cục bộ, 14/10/2026: đúng cả 9 bước; không lỗi JavaScript, không vi phạm CSP
Web, 14/10/2026 (kiểm tay): trang đăng nhập có "Quên mật khẩu?" mở đủ 2 bước; khối Tài khoản người dùng có nút "Cấp mã"</t>
        </is>
      </c>
      <c r="H23" s="29" t="inlineStr">
        <is>
          <t>Đạt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28" customWidth="1" min="4" max="4"/>
    <col width="11" customWidth="1" min="5" max="5"/>
    <col width="50" customWidth="1" min="6" max="6"/>
    <col width="42" customWidth="1" min="7" max="7"/>
    <col width="20" customWidth="1" min="8" max="8"/>
    <col width="12" customWidth="1" min="9" max="9"/>
    <col width="16" customWidth="1" min="10" max="10"/>
  </cols>
  <sheetData>
    <row r="1">
      <c r="A1" s="1" t="inlineStr">
        <is>
          <t>BẢNG 12 RỦI RO BẢO MẬT BM1 – BM12 – Nhóm 13 – DT13</t>
        </is>
      </c>
    </row>
    <row r="2">
      <c r="A2" s="28" t="inlineStr">
        <is>
          <t>Mã</t>
        </is>
      </c>
      <c r="B2" s="28" t="inlineStr">
        <is>
          <t>Rủi ro</t>
        </is>
      </c>
      <c r="C2" s="28" t="inlineStr">
        <is>
          <t>OWASP Top 10 (2021)</t>
        </is>
      </c>
      <c r="D2" s="28" t="inlineStr">
        <is>
          <t>Điểm phơi bày</t>
        </is>
      </c>
      <c r="E2" s="28" t="inlineStr">
        <is>
          <t>Mức độ</t>
        </is>
      </c>
      <c r="F2" s="28" t="inlineStr">
        <is>
          <t>Biện pháp đã áp dụng</t>
        </is>
      </c>
      <c r="G2" s="28" t="inlineStr">
        <is>
          <t>Vị trí trong mã nguồn</t>
        </is>
      </c>
      <c r="H2" s="28" t="inlineStr">
        <is>
          <t>Kịch bản kiểm chứng</t>
        </is>
      </c>
      <c r="I2" s="28" t="inlineStr">
        <is>
          <t>Bằng chứng</t>
        </is>
      </c>
      <c r="J2" s="28" t="inlineStr">
        <is>
          <t>Trạng thái</t>
        </is>
      </c>
    </row>
    <row r="3">
      <c r="A3" s="29" t="inlineStr">
        <is>
          <t>BM1</t>
        </is>
      </c>
      <c r="B3" s="29" t="inlineStr">
        <is>
          <t>Tiêm nhiễm SQL</t>
        </is>
      </c>
      <c r="C3" s="29" t="inlineStr">
        <is>
          <t>A03 Injection</t>
        </is>
      </c>
      <c r="D3" s="29" t="inlineStr">
        <is>
          <t>Ô tìm kiếm, tham số lọc/sắp xếp/ngày trên URL, mã trên đường dẫn</t>
        </is>
      </c>
      <c r="E3" s="29" t="inlineStr">
        <is>
          <t>Cao</t>
        </is>
      </c>
      <c r="F3" s="29" t="inlineStr">
        <is>
          <t>Mọi truy vấn dùng Query Builder hoặc tham số ràng buộc; cột và hướng sắp xếp theo danh sách trắng; kiểm định dạng ngày, ép kiểu mã; giới hạn size</t>
        </is>
      </c>
      <c r="G3" s="29" t="inlineStr">
        <is>
          <t>app/Repositories/*Repository.php; DeTaiService.php:132–145 (danh sách trắng); BaseController::layPhanTrang</t>
        </is>
      </c>
      <c r="H3" s="29" t="inlineStr">
        <is>
          <t>TC-B8-01; rà soát truy vấn của V2</t>
        </is>
      </c>
      <c r="I3" s="29" t="inlineStr">
        <is>
          <t>Ảnh 16</t>
        </is>
      </c>
      <c r="J3" s="29" t="inlineStr">
        <is>
          <t>Đã xử lý</t>
        </is>
      </c>
    </row>
    <row r="4">
      <c r="A4" s="29" t="inlineStr">
        <is>
          <t>BM2</t>
        </is>
      </c>
      <c r="B4" s="29" t="inlineStr">
        <is>
          <t>XSS</t>
        </is>
      </c>
      <c r="C4" s="29" t="inlineStr">
        <is>
          <t>A03 Injection</t>
        </is>
      </c>
      <c r="D4" s="29" t="inlineStr">
        <is>
          <t>Họ tên, tên đề tài, nhận xét hiển thị lại trên trang</t>
        </is>
      </c>
      <c r="E4" s="29" t="inlineStr">
        <is>
          <t>Cao</t>
        </is>
      </c>
      <c r="F4" s="29" t="inlineStr">
        <is>
          <t>PHP esc() khi in ra HTML; JavaScript chỉ gán bằng textContent; CSP script-src 'self' không unsafe-inline</t>
        </is>
      </c>
      <c r="G4" s="29" t="inlineStr">
        <is>
          <t>app/Views/trang/trang-chu.php; public/assets/trang-chu.js (hàm tao); app/Filters/TieuDeBaoMatFilter.php</t>
        </is>
      </c>
      <c r="H4" s="29" t="inlineStr">
        <is>
          <t>TC-B8-02</t>
        </is>
      </c>
      <c r="I4" s="29" t="inlineStr">
        <is>
          <t>Ảnh 17</t>
        </is>
      </c>
      <c r="J4" s="29" t="inlineStr">
        <is>
          <t>Đã xử lý</t>
        </is>
      </c>
    </row>
    <row r="5">
      <c r="A5" s="29" t="inlineStr">
        <is>
          <t>BM3</t>
        </is>
      </c>
      <c r="B5" s="29" t="inlineStr">
        <is>
          <t>CSRF</t>
        </is>
      </c>
      <c r="C5" s="29" t="inlineStr">
        <is>
          <t>A01 Broken Access Control</t>
        </is>
      </c>
      <c r="D5" s="29" t="inlineStr">
        <is>
          <t>Mọi yêu cầu đổi dữ liệu dùng cookie phiên</t>
        </is>
      </c>
      <c r="E5" s="29" t="inlineStr">
        <is>
          <t>Cao</t>
        </is>
      </c>
      <c r="F5" s="29" t="inlineStr">
        <is>
          <t>Bộ lọc kiểm Origin/Referer cho POST, PUT, PATCH, DELETE: nguồn khác tên miền trả 403; cookie phiên SameSite=Lax</t>
        </is>
      </c>
      <c r="G5" s="29" t="inlineStr">
        <is>
          <t>app/Filters/KiemNguonFilter.php; app/Config/Filters.php; app/Config/Cookie.php</t>
        </is>
      </c>
      <c r="H5" s="29" t="inlineStr">
        <is>
          <t>TC-B8-03, 04, 05</t>
        </is>
      </c>
      <c r="I5" s="29" t="inlineStr">
        <is>
          <t>Ảnh 18</t>
        </is>
      </c>
      <c r="J5" s="29" t="inlineStr">
        <is>
          <t>Đã xử lý</t>
        </is>
      </c>
    </row>
    <row r="6">
      <c r="A6" s="29" t="inlineStr">
        <is>
          <t>BM4</t>
        </is>
      </c>
      <c r="B6" s="29" t="inlineStr">
        <is>
          <t>IDOR</t>
        </is>
      </c>
      <c r="C6" s="29" t="inlineStr">
        <is>
          <t>A01 Broken Access Control</t>
        </is>
      </c>
      <c r="D6" s="29" t="inlineStr">
        <is>
          <t>Mã đề tài, báo cáo, nhóm, thông báo trên URL</t>
        </is>
      </c>
      <c r="E6" s="29" t="inlineStr">
        <is>
          <t>Cao</t>
        </is>
      </c>
      <c r="F6" s="29" t="inlineStr">
        <is>
          <t>Tầng Service nạp đối tượng rồi kiểm người gọi có quan hệ với đúng đối tượng (chủ, nhóm, GVHD phụ trách)</t>
        </is>
      </c>
      <c r="G6" s="29" t="inlineStr">
        <is>
          <t>DeTaiService, BaoCaoMocService, NhomSinhVienService, NghiemThuService, TaiTepService, ThongBaoService</t>
        </is>
      </c>
      <c r="H6" s="29" t="inlineStr">
        <is>
          <t>Ca truy cập chéo; TC-B7-17</t>
        </is>
      </c>
      <c r="I6" s="29" t="inlineStr">
        <is>
          <t>Ảnh 19</t>
        </is>
      </c>
      <c r="J6" s="29" t="inlineStr">
        <is>
          <t>Đã xử lý</t>
        </is>
      </c>
    </row>
    <row r="7">
      <c r="A7" s="29" t="inlineStr">
        <is>
          <t>BM5</t>
        </is>
      </c>
      <c r="B7" s="29" t="inlineStr">
        <is>
          <t>Phá vỡ kiểm soát truy cập</t>
        </is>
      </c>
      <c r="C7" s="29" t="inlineStr">
        <is>
          <t>A01 Broken Access Control</t>
        </is>
      </c>
      <c r="D7" s="29" t="inlineStr">
        <is>
          <t>Gọi thẳng API của vai trò khác</t>
        </is>
      </c>
      <c r="E7" s="29" t="inlineStr">
        <is>
          <t>Cao</t>
        </is>
      </c>
      <c r="F7" s="29" t="inlineStr">
        <is>
          <t>Bộ lọc quyen:Fx.y trên từng route theo bảng quyền; mã chức năng không khai báo bị chặn hết</t>
        </is>
      </c>
      <c r="G7" s="29" t="inlineStr">
        <is>
          <t>app/Filters/PhanQuyenFilter.php; app/Config/PhanQuyen.php; app/Config/Routes.php</t>
        </is>
      </c>
      <c r="H7" s="29" t="inlineStr">
        <is>
          <t>TC-B8-06 (33 ca TC-PQ)</t>
        </is>
      </c>
      <c r="I7" s="29" t="inlineStr">
        <is>
          <t>Ảnh 20</t>
        </is>
      </c>
      <c r="J7" s="29" t="inlineStr">
        <is>
          <t>Đã xử lý</t>
        </is>
      </c>
    </row>
    <row r="8">
      <c r="A8" s="29" t="inlineStr">
        <is>
          <t>BM6</t>
        </is>
      </c>
      <c r="B8" s="29" t="inlineStr">
        <is>
          <t>Lưu mật khẩu không an toàn</t>
        </is>
      </c>
      <c r="C8" s="29" t="inlineStr">
        <is>
          <t>A02 Cryptographic Failures</t>
        </is>
      </c>
      <c r="D8" s="29" t="inlineStr">
        <is>
          <t>Bảng nguoi_dung</t>
        </is>
      </c>
      <c r="E8" s="29" t="inlineStr">
        <is>
          <t>Cao</t>
        </is>
      </c>
      <c r="F8" s="29" t="inlineStr">
        <is>
          <t>password_hash bcrypt cost 12, tự băm lại khi cost đổi; không trả mat_khau_hash qua API; không ghi mật khẩu vào nhật ký</t>
        </is>
      </c>
      <c r="G8" s="29" t="inlineStr">
        <is>
          <t>app/Services/XacThucService.php; NguoiDungRepository::COT_CONG_KHAI</t>
        </is>
      </c>
      <c r="H8" s="29" t="inlineStr">
        <is>
          <t>TC-DT-09; TC-B7-04</t>
        </is>
      </c>
      <c r="I8" s="29" t="inlineStr">
        <is>
          <t>Ảnh 21</t>
        </is>
      </c>
      <c r="J8" s="29" t="inlineStr">
        <is>
          <t>Đã xử lý</t>
        </is>
      </c>
    </row>
    <row r="9">
      <c r="A9" s="29" t="inlineStr">
        <is>
          <t>BM7</t>
        </is>
      </c>
      <c r="B9" s="29" t="inlineStr">
        <is>
          <t>Quản lý phiên không an toàn</t>
        </is>
      </c>
      <c r="C9" s="29" t="inlineStr">
        <is>
          <t>A07 Identification and Authentication Failures</t>
        </is>
      </c>
      <c r="D9" s="29" t="inlineStr">
        <is>
          <t>Cookie ci_session</t>
        </is>
      </c>
      <c r="E9" s="29" t="inlineStr">
        <is>
          <t>Cao</t>
        </is>
      </c>
      <c r="F9" s="29" t="inlineStr">
        <is>
          <t>Tạo lại mã phiên sau đăng nhập; hủy phiên khi đăng xuất; cookie HttpOnly, Secure, SameSite=Lax</t>
        </is>
      </c>
      <c r="G9" s="29" t="inlineStr">
        <is>
          <t>XacThucController::dangNhap, dangXuat; app/Config/Session.php, Cookie.php</t>
        </is>
      </c>
      <c r="H9" s="29" t="inlineStr">
        <is>
          <t>TC-B8-07</t>
        </is>
      </c>
      <c r="I9" s="29" t="inlineStr">
        <is>
          <t>Ảnh 22</t>
        </is>
      </c>
      <c r="J9" s="29" t="inlineStr">
        <is>
          <t>Đã xử lý</t>
        </is>
      </c>
    </row>
    <row r="10">
      <c r="A10" s="29" t="inlineStr">
        <is>
          <t>BM8</t>
        </is>
      </c>
      <c r="B10" s="29" t="inlineStr">
        <is>
          <t>Tải tệp không an toàn</t>
        </is>
      </c>
      <c r="C10" s="29" t="inlineStr">
        <is>
          <t>A04 Insecure Design</t>
        </is>
      </c>
      <c r="D10" s="29" t="inlineStr">
        <is>
          <t>Nộp báo cáo mốc, tải tệp về</t>
        </is>
      </c>
      <c r="E10" s="29" t="inlineStr">
        <is>
          <t>Cao</t>
        </is>
      </c>
      <c r="F10" s="29" t="inlineStr">
        <is>
          <t>Kiểm chữ ký tệp thực, chỉ nhận .pdf/.docx ≤ 5 MB, đặt tên ngẫu nhiên, lưu ngoài thư mục web, tải về qua API có kiểm quyền và kiểm đường dẫn</t>
        </is>
      </c>
      <c r="G10" s="29" t="inlineStr">
        <is>
          <t>BaoCaoMocService (luuBanNop); TaiTepService.php</t>
        </is>
      </c>
      <c r="H10" s="29" t="inlineStr">
        <is>
          <t>TC-B7-05 → 09, 16 → 19</t>
        </is>
      </c>
      <c r="I10" s="29" t="inlineStr">
        <is>
          <t>Ảnh 23</t>
        </is>
      </c>
      <c r="J10" s="29" t="inlineStr">
        <is>
          <t>Đã xử lý</t>
        </is>
      </c>
    </row>
    <row r="11">
      <c r="A11" s="29" t="inlineStr">
        <is>
          <t>BM9</t>
        </is>
      </c>
      <c r="B11" s="29" t="inlineStr">
        <is>
          <t>Rò rỉ thông tin qua lỗi</t>
        </is>
      </c>
      <c r="C11" s="29" t="inlineStr">
        <is>
          <t>A05 Security Misconfiguration</t>
        </is>
      </c>
      <c r="D11" s="29" t="inlineStr">
        <is>
          <t>Phản hồi lỗi API và trang lỗi</t>
        </is>
      </c>
      <c r="E11" s="29" t="inlineStr">
        <is>
          <t>Trung bình</t>
        </is>
      </c>
      <c r="F11" s="29" t="inlineStr">
        <is>
          <t>Production tắt hiển thị lỗi; lỗi theo cấu trúc chung kèm requestId; chi tiết chỉ ghi vào log máy chủ</t>
        </is>
      </c>
      <c r="G11" s="29" t="inlineStr">
        <is>
          <t>app/Config/Boot/production.php; BaseController::respondError; app/Exceptions</t>
        </is>
      </c>
      <c r="H11" s="29" t="inlineStr">
        <is>
          <t>TC-B8-08</t>
        </is>
      </c>
      <c r="I11" s="29" t="inlineStr">
        <is>
          <t>Ảnh 24</t>
        </is>
      </c>
      <c r="J11" s="29" t="inlineStr">
        <is>
          <t>Đã xử lý</t>
        </is>
      </c>
    </row>
    <row r="12">
      <c r="A12" s="29" t="inlineStr">
        <is>
          <t>BM10</t>
        </is>
      </c>
      <c r="B12" s="29" t="inlineStr">
        <is>
          <t>Dò mật khẩu, lạm dụng</t>
        </is>
      </c>
      <c r="C12" s="29" t="inlineStr">
        <is>
          <t>A07 Identification and Authentication Failures</t>
        </is>
      </c>
      <c r="D12" s="29" t="inlineStr">
        <is>
          <t>POST /api/v1/auth/dang-nhap</t>
        </is>
      </c>
      <c r="E12" s="29" t="inlineStr">
        <is>
          <t>Cao</t>
        </is>
      </c>
      <c r="F12" s="29" t="inlineStr">
        <is>
          <t>Sai 5 lần trong 15 phút thì trả 429 kèm Retry-After, đếm theo IP và theo tài khoản; tên không tồn tại bị chặn như tài khoản thật; ghi LOGIN_FAILED, LOGIN_BLOCKED</t>
        </is>
      </c>
      <c r="G12" s="29" t="inlineStr">
        <is>
          <t>app/Services/XacThucService.php (kiemGioiHan); app/Repositories/GioiHanDangNhapRepository.php</t>
        </is>
      </c>
      <c r="H12" s="29" t="inlineStr">
        <is>
          <t>TC-B8-09, 10, 11</t>
        </is>
      </c>
      <c r="I12" s="29" t="inlineStr">
        <is>
          <t>Ảnh 25</t>
        </is>
      </c>
      <c r="J12" s="29" t="inlineStr">
        <is>
          <t>Đã xử lý</t>
        </is>
      </c>
    </row>
    <row r="13">
      <c r="A13" s="29" t="inlineStr">
        <is>
          <t>BM11</t>
        </is>
      </c>
      <c r="B13" s="29" t="inlineStr">
        <is>
          <t>Lộ bí mật trong mã nguồn</t>
        </is>
      </c>
      <c r="C13" s="29" t="inlineStr">
        <is>
          <t>A05 Security Misconfiguration</t>
        </is>
      </c>
      <c r="D13" s="29" t="inlineStr">
        <is>
          <t>Repository GitHub, tệp cấu hình</t>
        </is>
      </c>
      <c r="E13" s="29" t="inlineStr">
        <is>
          <t>Cao</t>
        </is>
      </c>
      <c r="F13" s="29" t="inlineStr">
        <is>
          <t>.env chỉ có trên máy chủ, nằm trong .gitignore, chưa từng commit; rà toàn bộ lịch sử</t>
        </is>
      </c>
      <c r="G13" s="29" t="inlineStr">
        <is>
          <t>.gitignore; .env.example</t>
        </is>
      </c>
      <c r="H13" s="29" t="inlineStr">
        <is>
          <t>TC-B8-12</t>
        </is>
      </c>
      <c r="I13" s="29" t="inlineStr">
        <is>
          <t>Ảnh kết quả rà soát lịch sử</t>
        </is>
      </c>
      <c r="J13" s="29" t="inlineStr">
        <is>
          <t>Đã xử lý</t>
        </is>
      </c>
    </row>
    <row r="14">
      <c r="A14" s="29" t="inlineStr">
        <is>
          <t>BM12</t>
        </is>
      </c>
      <c r="B14" s="29" t="inlineStr">
        <is>
          <t>Thiếu thẻ tiêu đề bảo mật, HTTPS</t>
        </is>
      </c>
      <c r="C14" s="29" t="inlineStr">
        <is>
          <t>A05 Security Misconfiguration</t>
        </is>
      </c>
      <c r="D14" s="29" t="inlineStr">
        <is>
          <t>Mọi trang và API</t>
        </is>
      </c>
      <c r="E14" s="29" t="inlineStr">
        <is>
          <t>Trung bình</t>
        </is>
      </c>
      <c r="F14" s="29" t="inlineStr">
        <is>
          <t>Bắt buộc HTTPS (.htaccess); HSTS, nosniff, X-Frame-Options DENY, Referrer-Policy, CSP chặt; script/style tách ra tệp riêng; HEAD / trả đủ thẻ</t>
        </is>
      </c>
      <c r="G14" s="29" t="inlineStr">
        <is>
          <t>app/Filters/TieuDeBaoMatFilter.php; app/Config/Filters.php; public/assets/*.css, dang-nhap.js; Routes.php (HEAD /)</t>
        </is>
      </c>
      <c r="H14" s="29" t="inlineStr">
        <is>
          <t>TC-B8-13, 14</t>
        </is>
      </c>
      <c r="I14" s="29" t="inlineStr">
        <is>
          <t>Ảnh 26</t>
        </is>
      </c>
      <c r="J14" s="29" t="inlineStr">
        <is>
          <t>Đã xử lý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42" customWidth="1" min="4" max="4"/>
    <col width="40" customWidth="1" min="5" max="5"/>
    <col width="44" customWidth="1" min="6" max="6"/>
    <col width="9" customWidth="1" min="7" max="7"/>
    <col width="28" customWidth="1" min="8" max="8"/>
    <col width="32" customWidth="1" min="9" max="9"/>
    <col width="22" customWidth="1" min="10" max="10"/>
  </cols>
  <sheetData>
    <row r="1">
      <c r="A1" s="1" t="inlineStr">
        <is>
          <t>BỘ 25 CA KIỂM THỬ BẮT BUỘC (BUỔI 9) – Nhóm 13, đề tài DT13</t>
        </is>
      </c>
    </row>
    <row r="2" ht="30" customHeight="1">
      <c r="A2" s="30" t="inlineStr">
        <is>
          <t>Chạy tự động bằng Postman + newman: tests/api/DT13-25-ca.postman_collection.json (thứ tự TC-01 → TC-25, dữ liệu mới cho mỗi lần chạy). Báo cáo HTML: docs/Buoi09/bao-cao-kiem-thu-api.html (Ảnh 32). Cột A – G theo biểu mẫu mục 7.4. Cột J: chạy lại trên môi trường trực tuyến ngày 16/10/2026 bằng Console trình duyệt (kiểm thử tại chỗ mục 3), 25/25 đạt.</t>
        </is>
      </c>
    </row>
    <row r="4">
      <c r="A4" s="28" t="inlineStr">
        <is>
          <t>Mã ca</t>
        </is>
      </c>
      <c r="B4" s="28" t="inlineStr">
        <is>
          <t>Loại ca</t>
        </is>
      </c>
      <c r="C4" s="28" t="inlineStr">
        <is>
          <t>Chức năng</t>
        </is>
      </c>
      <c r="D4" s="28" t="inlineStr">
        <is>
          <t>Các bước thực hiện</t>
        </is>
      </c>
      <c r="E4" s="28" t="inlineStr">
        <is>
          <t>Kết quả mong đợi</t>
        </is>
      </c>
      <c r="F4" s="28" t="inlineStr">
        <is>
          <t>Kết quả thực tế</t>
        </is>
      </c>
      <c r="G4" s="28" t="inlineStr">
        <is>
          <t>Kết luận</t>
        </is>
      </c>
      <c r="H4" s="28" t="inlineStr">
        <is>
          <t>Tiền đề</t>
        </is>
      </c>
      <c r="I4" s="28" t="inlineStr">
        <is>
          <t>Yêu cầu trong bộ sưu tập</t>
        </is>
      </c>
      <c r="J4" s="28" t="inlineStr">
        <is>
          <t>Kết quả trên web</t>
        </is>
      </c>
    </row>
    <row r="5">
      <c r="A5" s="29" t="inlineStr">
        <is>
          <t>TC-01</t>
        </is>
      </c>
      <c r="B5" s="29" t="inlineStr">
        <is>
          <t>Nghiệp vụ chính</t>
        </is>
      </c>
      <c r="C5" s="29" t="inlineStr">
        <is>
          <t>Đăng nhập (F1.2)</t>
        </is>
      </c>
      <c r="D5" s="29" t="inlineStr">
        <is>
          <t>1. Mở trang đăng nhập
2. Nhập đúng tên đăng nhập và mật khẩu của thư ký khoa
3. Bấm Đăng nhập</t>
        </is>
      </c>
      <c r="E5" s="29" t="inlineStr">
        <is>
          <t>Mã 200; trả họ tên và vai trò thu_ky_khoa; không trả mật khẩu băm</t>
        </is>
      </c>
      <c r="F5" s="29" t="inlineStr">
        <is>
          <t>Máy cục bộ, newman 14/10/2026: 200; ho_ten "Thư Ký Khoa CNTT", vai_tro [thu_ky_khoa]; không có mat_khau_hash</t>
        </is>
      </c>
      <c r="G5" s="29" t="inlineStr">
        <is>
          <t>Đạt</t>
        </is>
      </c>
      <c r="H5" s="29" t="inlineStr">
        <is>
          <t>Tài khoản thukykhoa đang hoạt động</t>
        </is>
      </c>
      <c r="I5" s="29" t="inlineStr">
        <is>
          <t>POST /auth/dang-nhap</t>
        </is>
      </c>
      <c r="J5" s="29" t="inlineStr">
        <is>
          <t>Web, 16/10/2026: 200; Thư Ký Khoa CNTT, vai_tro thu_ky_khoa – Đạt</t>
        </is>
      </c>
    </row>
    <row r="6">
      <c r="A6" s="29" t="inlineStr">
        <is>
          <t>TC-02</t>
        </is>
      </c>
      <c r="B6" s="29" t="inlineStr">
        <is>
          <t>Nghiệp vụ chính</t>
        </is>
      </c>
      <c r="C6" s="29" t="inlineStr">
        <is>
          <t>Chuẩn bị học kỳ (F3.1, F1.6)</t>
        </is>
      </c>
      <c r="D6" s="29" t="inlineStr">
        <is>
          <t>1. Thư ký tạo lớp học phần PM-&lt;mã lần chạy&gt;
2. Tạo mốc bắt buộc "Báo cáo giữa kỳ", hạn sau 7 ngày
3. Tạo tài khoản sinh viên mới</t>
        </is>
      </c>
      <c r="E6" s="29" t="inlineStr">
        <is>
          <t>Lớp, mốc, tài khoản đều trả 201</t>
        </is>
      </c>
      <c r="F6" s="29" t="inlineStr">
        <is>
          <t>Máy cục bộ, newman 14/10/2026: lớp 201, mốc 201, tài khoản sinh viên 201; tìm được GVHD gv_nguyen_van_a (200)</t>
        </is>
      </c>
      <c r="G6" s="29" t="inlineStr">
        <is>
          <t>Đạt</t>
        </is>
      </c>
      <c r="H6" s="29" t="inlineStr">
        <is>
          <t>Đã đăng nhập thư ký khoa (TC-01)</t>
        </is>
      </c>
      <c r="I6" s="29" t="inlineStr">
        <is>
          <t>POST /lop-hoc-phan, POST /moc-thoi-gian, POST /nguoi-dung, GET /nguoi-dung?q=</t>
        </is>
      </c>
      <c r="J6" s="29" t="inlineStr">
        <is>
          <t>Web, 16/10/2026: lớp 201 (WEB-aebju0), mốc 201, tài khoản sv_web_aebju0 201 – Đạt</t>
        </is>
      </c>
    </row>
    <row r="7">
      <c r="A7" s="29" t="inlineStr">
        <is>
          <t>TC-03</t>
        </is>
      </c>
      <c r="B7" s="29" t="inlineStr">
        <is>
          <t>Nghiệp vụ chính</t>
        </is>
      </c>
      <c r="C7" s="29" t="inlineStr">
        <is>
          <t>Đề xuất đề tài (F2.2)</t>
        </is>
      </c>
      <c r="D7" s="29" t="inlineStr">
        <is>
          <t>1. Sinh viên mới đăng nhập
2. Gửi đề xuất "Ứng dụng quản lý thư viện số" vào lớp vừa tạo</t>
        </is>
      </c>
      <c r="E7" s="29" t="inlineStr">
        <is>
          <t>Mã 201; đề tài ở trạng thái pending</t>
        </is>
      </c>
      <c r="F7" s="29" t="inlineStr">
        <is>
          <t>Máy cục bộ, newman 14/10/2026: 201, trang_thai pending</t>
        </is>
      </c>
      <c r="G7" s="29" t="inlineStr">
        <is>
          <t>Đạt</t>
        </is>
      </c>
      <c r="H7" s="29" t="inlineStr">
        <is>
          <t>Tài khoản sinh viên tạo ở TC-02, chưa có đề tài</t>
        </is>
      </c>
      <c r="I7" s="29" t="inlineStr">
        <is>
          <t>POST /de-tai</t>
        </is>
      </c>
      <c r="J7" s="29" t="inlineStr">
        <is>
          <t>Web, 16/10/2026: 201, trang_thai pending – Đạt</t>
        </is>
      </c>
    </row>
    <row r="8">
      <c r="A8" s="29" t="inlineStr">
        <is>
          <t>TC-04</t>
        </is>
      </c>
      <c r="B8" s="29" t="inlineStr">
        <is>
          <t>Ngoại lệ và biên</t>
        </is>
      </c>
      <c r="C8" s="29" t="inlineStr">
        <is>
          <t>Đề xuất đề tài – dữ liệu biên</t>
        </is>
      </c>
      <c r="D8" s="29" t="inlineStr">
        <is>
          <t>1. Gửi tên đề tài 201 ký tự (giới hạn 200)
2. Gửi tên toàn khoảng trắng
3. Gửi thân yêu cầu JSON hỏng {"ten_de_tai":</t>
        </is>
      </c>
      <c r="E8" s="29" t="inlineStr">
        <is>
          <t>Cả ba trả 422 VALIDATION_FAILED; không tạo đề tài</t>
        </is>
      </c>
      <c r="F8" s="29" t="inlineStr">
        <is>
          <t>Máy cục bộ, newman 14/10/2026: 422 VALIDATION_FAILED ở cả ba lần</t>
        </is>
      </c>
      <c r="G8" s="29" t="inlineStr">
        <is>
          <t>Đạt</t>
        </is>
      </c>
      <c r="H8" s="29" t="inlineStr">
        <is>
          <t>Đăng nhập sinh viên (TC-03)</t>
        </is>
      </c>
      <c r="I8" s="29" t="inlineStr">
        <is>
          <t>POST /de-tai</t>
        </is>
      </c>
      <c r="J8" s="29" t="inlineStr">
        <is>
          <t>Web, 16/10/2026: 422 VALIDATION_FAILED, 422 VALIDATION_FAILED, 422 VALIDATION_FAILED – Đạt</t>
        </is>
      </c>
    </row>
    <row r="9">
      <c r="A9" s="29" t="inlineStr">
        <is>
          <t>TC-05</t>
        </is>
      </c>
      <c r="B9" s="29" t="inlineStr">
        <is>
          <t>Phân quyền và bảo mật</t>
        </is>
      </c>
      <c r="C9" s="29" t="inlineStr">
        <is>
          <t>Sinh viên tự duyệt đề tài (ô "Không" của F2.6)</t>
        </is>
      </c>
      <c r="D9" s="29" t="inlineStr">
        <is>
          <t>Sinh viên gọi POST duyệt đề tài của chính mình</t>
        </is>
      </c>
      <c r="E9" s="29" t="inlineStr">
        <is>
          <t>Mã 403 FORBIDDEN; trạng thái không đổi</t>
        </is>
      </c>
      <c r="F9" s="29" t="inlineStr">
        <is>
          <t>Máy cục bộ, newman 14/10/2026: 403 FORBIDDEN</t>
        </is>
      </c>
      <c r="G9" s="29" t="inlineStr">
        <is>
          <t>Đạt</t>
        </is>
      </c>
      <c r="H9" s="29" t="inlineStr">
        <is>
          <t>Đề tài pending của sinh viên (TC-03)</t>
        </is>
      </c>
      <c r="I9" s="29" t="inlineStr">
        <is>
          <t>POST /de-tai/{id}/duyet</t>
        </is>
      </c>
      <c r="J9" s="29" t="inlineStr">
        <is>
          <t>Web, 16/10/2026: 403 FORBIDDEN – Đạt</t>
        </is>
      </c>
    </row>
    <row r="10">
      <c r="A10" s="29" t="inlineStr">
        <is>
          <t>TC-06</t>
        </is>
      </c>
      <c r="B10" s="29" t="inlineStr">
        <is>
          <t>Nghiệp vụ chính</t>
        </is>
      </c>
      <c r="C10" s="29" t="inlineStr">
        <is>
          <t>Phân công GVHD (F2.8)</t>
        </is>
      </c>
      <c r="D10" s="29" t="inlineStr">
        <is>
          <t>1. Thư ký khoa đăng nhập
2. Phân công gv_nguyen_van_a cho nhóm của đề tài</t>
        </is>
      </c>
      <c r="E10" s="29" t="inlineStr">
        <is>
          <t>Mã 200; đề tài có GVHD</t>
        </is>
      </c>
      <c r="F10" s="29" t="inlineStr">
        <is>
          <t>Máy cục bộ, newman 14/10/2026: 200</t>
        </is>
      </c>
      <c r="G10" s="29" t="inlineStr">
        <is>
          <t>Đạt</t>
        </is>
      </c>
      <c r="H10" s="29" t="inlineStr">
        <is>
          <t>Đề tài pending chưa có GVHD</t>
        </is>
      </c>
      <c r="I10" s="29" t="inlineStr">
        <is>
          <t>PATCH /nhom-sinh-vien/{id}/gvhd</t>
        </is>
      </c>
      <c r="J10" s="29" t="inlineStr">
        <is>
          <t>Web, 16/10/2026: 200 – Đạt</t>
        </is>
      </c>
    </row>
    <row r="11">
      <c r="A11" s="29" t="inlineStr">
        <is>
          <t>TC-07</t>
        </is>
      </c>
      <c r="B11" s="29" t="inlineStr">
        <is>
          <t>Nghiệp vụ chính</t>
        </is>
      </c>
      <c r="C11" s="29" t="inlineStr">
        <is>
          <t>GVHD duyệt đề tài (F2.6)</t>
        </is>
      </c>
      <c r="D11" s="29" t="inlineStr">
        <is>
          <t>1. GVHD phụ trách đăng nhập
2. Duyệt đề tài kèm nhận xét</t>
        </is>
      </c>
      <c r="E11" s="29" t="inlineStr">
        <is>
          <t>Mã 200; trạng thái approved</t>
        </is>
      </c>
      <c r="F11" s="29" t="inlineStr">
        <is>
          <t>Máy cục bộ, newman 14/10/2026: 200, trang_thai approved</t>
        </is>
      </c>
      <c r="G11" s="29" t="inlineStr">
        <is>
          <t>Đạt</t>
        </is>
      </c>
      <c r="H11" s="29" t="inlineStr">
        <is>
          <t>Đề tài đã có GVHD (TC-06)</t>
        </is>
      </c>
      <c r="I11" s="29" t="inlineStr">
        <is>
          <t>POST /de-tai/{id}/duyet</t>
        </is>
      </c>
      <c r="J11" s="29" t="inlineStr">
        <is>
          <t>Web, 16/10/2026: 200, trang_thai approved – Đạt</t>
        </is>
      </c>
    </row>
    <row r="12">
      <c r="A12" s="29" t="inlineStr">
        <is>
          <t>TC-08</t>
        </is>
      </c>
      <c r="B12" s="29" t="inlineStr">
        <is>
          <t>Ngoại lệ và biên</t>
        </is>
      </c>
      <c r="C12" s="29" t="inlineStr">
        <is>
          <t>Duyệt đề tài không tồn tại</t>
        </is>
      </c>
      <c r="D12" s="29" t="inlineStr">
        <is>
          <t>GVHD gọi duyệt đề tài mã 999999999</t>
        </is>
      </c>
      <c r="E12" s="29" t="inlineStr">
        <is>
          <t>Mã 404 NOT_FOUND, không lộ lỗi nội bộ</t>
        </is>
      </c>
      <c r="F12" s="29" t="inlineStr">
        <is>
          <t>Máy cục bộ, newman 14/10/2026: 404 NOT_FOUND "Khong tim thay de tai"</t>
        </is>
      </c>
      <c r="G12" s="29" t="inlineStr">
        <is>
          <t>Đạt</t>
        </is>
      </c>
      <c r="H12" s="29" t="inlineStr">
        <is>
          <t>Đăng nhập GVHD</t>
        </is>
      </c>
      <c r="I12" s="29" t="inlineStr">
        <is>
          <t>POST /de-tai/999999999/duyet</t>
        </is>
      </c>
      <c r="J12" s="29" t="inlineStr">
        <is>
          <t>Web, 16/10/2026: 404 NOT_FOUND – Đạt</t>
        </is>
      </c>
    </row>
    <row r="13">
      <c r="A13" s="29" t="inlineStr">
        <is>
          <t>TC-09</t>
        </is>
      </c>
      <c r="B13" s="29" t="inlineStr">
        <is>
          <t>Ngoại lệ và biên</t>
        </is>
      </c>
      <c r="C13" s="29" t="inlineStr">
        <is>
          <t>Nộp tệp giả PDF (F3.4, BM8)</t>
        </is>
      </c>
      <c r="D13" s="29" t="inlineStr">
        <is>
          <t>Sinh viên nộp tep-gia.pdf (nội dung là tệp thực thi, bắt đầu bằng MZ) cho mốc bắt buộc</t>
        </is>
      </c>
      <c r="E13" s="29" t="inlineStr">
        <is>
          <t>Mã 422 VALIDATION_FAILED; không lưu tệp; mốc vẫn chưa nộp</t>
        </is>
      </c>
      <c r="F13" s="29" t="inlineStr">
        <is>
          <t>Máy cục bộ, newman 14/10/2026: 422 VALIDATION_FAILED; TC-10 sau đó vẫn nộp được mốc này (201)</t>
        </is>
      </c>
      <c r="G13" s="29" t="inlineStr">
        <is>
          <t>Đạt</t>
        </is>
      </c>
      <c r="H13" s="29" t="inlineStr">
        <is>
          <t>Đề tài approved; mốc còn hạn</t>
        </is>
      </c>
      <c r="I13" s="29" t="inlineStr">
        <is>
          <t>POST /de-tai/{id}/bao-cao-moc (multipart)</t>
        </is>
      </c>
      <c r="J13" s="29" t="inlineStr">
        <is>
          <t>Web, 16/10/2026: 422 VALIDATION_FAILED – Đạt</t>
        </is>
      </c>
    </row>
    <row r="14">
      <c r="A14" s="29" t="inlineStr">
        <is>
          <t>TC-10</t>
        </is>
      </c>
      <c r="B14" s="29" t="inlineStr">
        <is>
          <t>Nghiệp vụ chính</t>
        </is>
      </c>
      <c r="C14" s="29" t="inlineStr">
        <is>
          <t>Nộp báo cáo mốc (F3.4)</t>
        </is>
      </c>
      <c r="D14" s="29" t="inlineStr">
        <is>
          <t>1. Sinh viên nộp bao-cao-thu.pdf cho mốc bắt buộc
2. Xem lại đề tài</t>
        </is>
      </c>
      <c r="E14" s="29" t="inlineStr">
        <is>
          <t>Mã 201; đề tài chuyển approved → in_progress</t>
        </is>
      </c>
      <c r="F14" s="29" t="inlineStr">
        <is>
          <t>Máy cục bộ, newman 14/10/2026: 201; trang_thai in_progress</t>
        </is>
      </c>
      <c r="G14" s="29" t="inlineStr">
        <is>
          <t>Đạt</t>
        </is>
      </c>
      <c r="H14" s="29" t="inlineStr">
        <is>
          <t>Đề tài approved; mốc còn hạn</t>
        </is>
      </c>
      <c r="I14" s="29" t="inlineStr">
        <is>
          <t>POST /de-tai/{id}/bao-cao-moc, GET /de-tai/{id}</t>
        </is>
      </c>
      <c r="J14" s="29" t="inlineStr">
        <is>
          <t>Web, 16/10/2026: 201; trang_thai in_progress – Đạt</t>
        </is>
      </c>
    </row>
    <row r="15">
      <c r="A15" s="29" t="inlineStr">
        <is>
          <t>TC-11</t>
        </is>
      </c>
      <c r="B15" s="29" t="inlineStr">
        <is>
          <t>Phân quyền và bảo mật</t>
        </is>
      </c>
      <c r="C15" s="29" t="inlineStr">
        <is>
          <t>GVHD không phụ trách duyệt báo cáo (BM4)</t>
        </is>
      </c>
      <c r="D15" s="29" t="inlineStr">
        <is>
          <t>gv_nguyen_thi_hanh (không phụ trách đề tài) gọi duyệt báo cáo vừa nộp</t>
        </is>
      </c>
      <c r="E15" s="29" t="inlineStr">
        <is>
          <t>Mã 403; báo cáo vẫn chờ duyệt</t>
        </is>
      </c>
      <c r="F15" s="29" t="inlineStr">
        <is>
          <t>Máy cục bộ, newman 14/10/2026: 403 FORBIDDEN "Ban khong phu trach de tai cua bao cao nay"</t>
        </is>
      </c>
      <c r="G15" s="29" t="inlineStr">
        <is>
          <t>Đạt</t>
        </is>
      </c>
      <c r="H15" s="29" t="inlineStr">
        <is>
          <t>Báo cáo chờ duyệt (TC-10)</t>
        </is>
      </c>
      <c r="I15" s="29" t="inlineStr">
        <is>
          <t>POST /bao-cao-moc/{id}/duyet</t>
        </is>
      </c>
      <c r="J15" s="29" t="inlineStr">
        <is>
          <t>Web, 16/10/2026: 403 FORBIDDEN – Đạt</t>
        </is>
      </c>
    </row>
    <row r="16">
      <c r="A16" s="29" t="inlineStr">
        <is>
          <t>TC-12</t>
        </is>
      </c>
      <c r="B16" s="29" t="inlineStr">
        <is>
          <t>Nghiệp vụ chính</t>
        </is>
      </c>
      <c r="C16" s="29" t="inlineStr">
        <is>
          <t>Yêu cầu bổ sung, nộp lại, duyệt (F3.8, F3.5, F3.7)</t>
        </is>
      </c>
      <c r="D16" s="29" t="inlineStr">
        <is>
          <t>1. GVHD yêu cầu bổ sung
2. Sinh viên nộp lại
3. GVHD duyệt bản nộp lại
4. Xem lại đề tài</t>
        </is>
      </c>
      <c r="E16" s="29" t="inlineStr">
        <is>
          <t>Bổ sung 200; nộp lại 201 tạo bản ghi mới; duyệt 200; đủ mốc bắt buộc nên đề tài completed</t>
        </is>
      </c>
      <c r="F16" s="29" t="inlineStr">
        <is>
          <t>Máy cục bộ, newman 14/10/2026: 200; 201 (bản ghi mới khác bản cũ); 200; trang_thai completed</t>
        </is>
      </c>
      <c r="G16" s="29" t="inlineStr">
        <is>
          <t>Đạt</t>
        </is>
      </c>
      <c r="H16" s="29" t="inlineStr">
        <is>
          <t>Báo cáo chờ duyệt (TC-10)</t>
        </is>
      </c>
      <c r="I16" s="29" t="inlineStr">
        <is>
          <t>POST /bao-cao-moc/{id}/yeu-cau-bo-sung, POST /bao-cao-moc/{id}, POST /bao-cao-moc/{id}/duyet</t>
        </is>
      </c>
      <c r="J16" s="29" t="inlineStr">
        <is>
          <t>Web, 16/10/2026: 200; 201 (bản ghi mới); 200; trang_thai completed – Đạt</t>
        </is>
      </c>
    </row>
    <row r="17">
      <c r="A17" s="29" t="inlineStr">
        <is>
          <t>TC-13</t>
        </is>
      </c>
      <c r="B17" s="29" t="inlineStr">
        <is>
          <t>Phân quyền và bảo mật</t>
        </is>
      </c>
      <c r="C17" s="29" t="inlineStr">
        <is>
          <t>GVHD chấm điểm nghiệm thu (ô "Không" của F4.3)</t>
        </is>
      </c>
      <c r="D17" s="29" t="inlineStr">
        <is>
          <t>GVHD gọi chấm điểm 9 cho đề tài mình hướng dẫn</t>
        </is>
      </c>
      <c r="E17" s="29" t="inlineStr">
        <is>
          <t>Mã 403; không có điểm được ghi</t>
        </is>
      </c>
      <c r="F17" s="29" t="inlineStr">
        <is>
          <t>Máy cục bộ, newman 14/10/2026: 403 FORBIDDEN</t>
        </is>
      </c>
      <c r="G17" s="29" t="inlineStr">
        <is>
          <t>Đạt</t>
        </is>
      </c>
      <c r="H17" s="29" t="inlineStr">
        <is>
          <t>Đề tài completed (TC-12)</t>
        </is>
      </c>
      <c r="I17" s="29" t="inlineStr">
        <is>
          <t>POST /de-tai/{id}/diem-nghiem-thu</t>
        </is>
      </c>
      <c r="J17" s="29" t="inlineStr">
        <is>
          <t>Web, 16/10/2026: 403 FORBIDDEN – Đạt</t>
        </is>
      </c>
    </row>
    <row r="18">
      <c r="A18" s="29" t="inlineStr">
        <is>
          <t>TC-14</t>
        </is>
      </c>
      <c r="B18" s="29" t="inlineStr">
        <is>
          <t>Ngoại lệ và biên</t>
        </is>
      </c>
      <c r="C18" s="29" t="inlineStr">
        <is>
          <t>Chấm điểm ngoài khoảng 0 – 10 (F4.3)</t>
        </is>
      </c>
      <c r="D18" s="29" t="inlineStr">
        <is>
          <t>Hội đồng gửi điểm 11, điểm -1, điểm "abc"</t>
        </is>
      </c>
      <c r="E18" s="29" t="inlineStr">
        <is>
          <t>11 và -1: 422 DIEM_NGOAI_KHOANG; "abc": 422 VALIDATION_FAILED; không ghi điểm</t>
        </is>
      </c>
      <c r="F18" s="29" t="inlineStr">
        <is>
          <t>Máy cục bộ, newman 14/10/2026: 422 DIEM_NGOAI_KHOANG, 422 DIEM_NGOAI_KHOANG, 422 VALIDATION_FAILED</t>
        </is>
      </c>
      <c r="G18" s="29" t="inlineStr">
        <is>
          <t>Đạt</t>
        </is>
      </c>
      <c r="H18" s="29" t="inlineStr">
        <is>
          <t>Đề tài completed; đăng nhập hd_pham_van_d</t>
        </is>
      </c>
      <c r="I18" s="29" t="inlineStr">
        <is>
          <t>POST /de-tai/{id}/diem-nghiem-thu</t>
        </is>
      </c>
      <c r="J18" s="29" t="inlineStr">
        <is>
          <t>Web, 16/10/2026: 422 DIEM_NGOAI_KHOANG, 422 DIEM_NGOAI_KHOANG, 422 VALIDATION_FAILED – Đạt</t>
        </is>
      </c>
    </row>
    <row r="19">
      <c r="A19" s="29" t="inlineStr">
        <is>
          <t>TC-15</t>
        </is>
      </c>
      <c r="B19" s="29" t="inlineStr">
        <is>
          <t>Phân quyền và bảo mật</t>
        </is>
      </c>
      <c r="C19" s="29" t="inlineStr">
        <is>
          <t>Hội đồng tự chốt nghiệm thu (ô "Không" của F4.5)</t>
        </is>
      </c>
      <c r="D19" s="29" t="inlineStr">
        <is>
          <t>Hội đồng gọi chốt nghiệm thu</t>
        </is>
      </c>
      <c r="E19" s="29" t="inlineStr">
        <is>
          <t>Mã 403; đề tài vẫn completed</t>
        </is>
      </c>
      <c r="F19" s="29" t="inlineStr">
        <is>
          <t>Máy cục bộ, newman 14/10/2026: 403 FORBIDDEN</t>
        </is>
      </c>
      <c r="G19" s="29" t="inlineStr">
        <is>
          <t>Đạt</t>
        </is>
      </c>
      <c r="H19" s="29" t="inlineStr">
        <is>
          <t>Đăng nhập hội đồng</t>
        </is>
      </c>
      <c r="I19" s="29" t="inlineStr">
        <is>
          <t>POST /de-tai/{id}/chot-nghiem-thu</t>
        </is>
      </c>
      <c r="J19" s="29" t="inlineStr">
        <is>
          <t>Web, 16/10/2026: 403 FORBIDDEN – Đạt</t>
        </is>
      </c>
    </row>
    <row r="20">
      <c r="A20" s="29" t="inlineStr">
        <is>
          <t>TC-16</t>
        </is>
      </c>
      <c r="B20" s="29" t="inlineStr">
        <is>
          <t>Nghiệp vụ chính</t>
        </is>
      </c>
      <c r="C20" s="29" t="inlineStr">
        <is>
          <t>Chấm điểm và chốt nghiệm thu (F4.3, F4.5)</t>
        </is>
      </c>
      <c r="D20" s="29" t="inlineStr">
        <is>
          <t>1. Hội đồng chấm 8 kèm nhận xét
2. Thư ký khoa đăng nhập, chốt nghiệm thu</t>
        </is>
      </c>
      <c r="E20" s="29" t="inlineStr">
        <is>
          <t>Chấm 201; chốt 200, điểm trung bình 8, đề tài accepted</t>
        </is>
      </c>
      <c r="F20" s="29" t="inlineStr">
        <is>
          <t>Máy cục bộ, newman 14/10/2026: 201 (so_luot_cham 1); chốt 200, diem_trung_binh 8</t>
        </is>
      </c>
      <c r="G20" s="29" t="inlineStr">
        <is>
          <t>Đạt</t>
        </is>
      </c>
      <c r="H20" s="29" t="inlineStr">
        <is>
          <t>Đề tài completed; điểm hợp lệ chưa có</t>
        </is>
      </c>
      <c r="I20" s="29" t="inlineStr">
        <is>
          <t>POST /de-tai/{id}/diem-nghiem-thu, POST /de-tai/{id}/chot-nghiem-thu</t>
        </is>
      </c>
      <c r="J20" s="29" t="inlineStr">
        <is>
          <t>Web, 16/10/2026: chấm 201; chốt 200, diem_trung_binh 8 – Đạt</t>
        </is>
      </c>
    </row>
    <row r="21">
      <c r="A21" s="29" t="inlineStr">
        <is>
          <t>TC-17</t>
        </is>
      </c>
      <c r="B21" s="29" t="inlineStr">
        <is>
          <t>Nghiệp vụ chính</t>
        </is>
      </c>
      <c r="C21" s="29" t="inlineStr">
        <is>
          <t>Sinh viên xem kết quả và lịch sử (F4.4, F3.10)</t>
        </is>
      </c>
      <c r="D21" s="29" t="inlineStr">
        <is>
          <t>1. Sinh viên đăng nhập
2. Xem điểm nghiệm thu
3. Xem lịch sử trạng thái đề tài</t>
        </is>
      </c>
      <c r="E21" s="29" t="inlineStr">
        <is>
          <t>Điểm đã công bố, trung bình 8; lịch sử đi đủ pending → approved → in_progress → completed → accepted</t>
        </is>
      </c>
      <c r="F21" s="29" t="inlineStr">
        <is>
          <t>Máy cục bộ, newman 14/10/2026: 200, cong_bo true, diem_trung_binh 8; lịch sử đủ 5 trạng thái đúng thứ tự</t>
        </is>
      </c>
      <c r="G21" s="29" t="inlineStr">
        <is>
          <t>Đạt</t>
        </is>
      </c>
      <c r="H21" s="29" t="inlineStr">
        <is>
          <t>Đề tài accepted (TC-16)</t>
        </is>
      </c>
      <c r="I21" s="29" t="inlineStr">
        <is>
          <t>GET /de-tai/{id}/diem-nghiem-thu, GET /de-tai/{id}/lich-su</t>
        </is>
      </c>
      <c r="J21" s="29" t="inlineStr">
        <is>
          <t>Web, 16/10/2026: 200, cong_bo true, diem_trung_binh 8; lịch sử pending → approved → in_progress → completed → accepted – Đạt</t>
        </is>
      </c>
    </row>
    <row r="22">
      <c r="A22" s="29" t="inlineStr">
        <is>
          <t>TC-18</t>
        </is>
      </c>
      <c r="B22" s="29" t="inlineStr">
        <is>
          <t>Phân quyền và bảo mật</t>
        </is>
      </c>
      <c r="C22" s="29" t="inlineStr">
        <is>
          <t>Truy cập chéo dữ liệu (BM4)</t>
        </is>
      </c>
      <c r="D22" s="29" t="inlineStr">
        <is>
          <t>Đăng nhập sv_tran_van_b (nhóm khác), gọi xem điểm đề tài vừa nghiệm thu</t>
        </is>
      </c>
      <c r="E22" s="29" t="inlineStr">
        <is>
          <t>Mã 403, không trả về dữ liệu</t>
        </is>
      </c>
      <c r="F22" s="29" t="inlineStr">
        <is>
          <t>Máy cục bộ, newman 14/10/2026: 403 FORBIDDEN "Ban khong co quyen xem diem de tai nay", không có trường data</t>
        </is>
      </c>
      <c r="G22" s="29" t="inlineStr">
        <is>
          <t>Đạt</t>
        </is>
      </c>
      <c r="H22" s="29" t="inlineStr">
        <is>
          <t>Đề tài accepted của nhóm khác</t>
        </is>
      </c>
      <c r="I22" s="29" t="inlineStr">
        <is>
          <t>GET /de-tai/{id}/diem-nghiem-thu</t>
        </is>
      </c>
      <c r="J22" s="29" t="inlineStr">
        <is>
          <t>Web, 16/10/2026: 403 FORBIDDEN, không có data – Đạt</t>
        </is>
      </c>
    </row>
    <row r="23">
      <c r="A23" s="29" t="inlineStr">
        <is>
          <t>TC-19</t>
        </is>
      </c>
      <c r="B23" s="29" t="inlineStr">
        <is>
          <t>Phân quyền và bảo mật</t>
        </is>
      </c>
      <c r="C23" s="29" t="inlineStr">
        <is>
          <t>Yêu cầu từ trang ngoài (BM3)</t>
        </is>
      </c>
      <c r="D23" s="29" t="inlineStr">
        <is>
          <t>1. Thư ký đăng nhập
2. Gửi POST tạo lớp kèm Origin https://trang-tan-cong.example
3. Xem danh sách lớp</t>
        </is>
      </c>
      <c r="E23" s="29" t="inlineStr">
        <is>
          <t>Mã 403 CSRF_REJECTED; lớp không được tạo</t>
        </is>
      </c>
      <c r="F23" s="29" t="inlineStr">
        <is>
          <t>Máy cục bộ, newman 14/10/2026: 403 CSRF_REJECTED; danh sách lớp có lớp PM vừa tạo nhưng không có lớp CSRF</t>
        </is>
      </c>
      <c r="G23" s="29" t="inlineStr">
        <is>
          <t>Đạt</t>
        </is>
      </c>
      <c r="H23" s="29" t="inlineStr">
        <is>
          <t>Phiên thư ký hợp lệ</t>
        </is>
      </c>
      <c r="I23" s="29" t="inlineStr">
        <is>
          <t>POST /lop-hoc-phan (Origin lạ), GET /lop-hoc-phan</t>
        </is>
      </c>
      <c r="J23" s="29" t="inlineStr">
        <is>
          <t>Web, 16/10/2026: 403 CSRF_REJECTED (người chạy xác nhận trên trang thử); danh sách lớp không có CSRF-WEB – Đạt</t>
        </is>
      </c>
    </row>
    <row r="24">
      <c r="A24" s="29" t="inlineStr">
        <is>
          <t>TC-20</t>
        </is>
      </c>
      <c r="B24" s="29" t="inlineStr">
        <is>
          <t>Báo cáo và xuất dữ liệu</t>
        </is>
      </c>
      <c r="C24" s="29" t="inlineStr">
        <is>
          <t>Thống kê đề tài theo lớp (F5.1)</t>
        </is>
      </c>
      <c r="D24" s="29" t="inlineStr">
        <is>
          <t>Thư ký mở báo cáo "Đề tài theo lớp học phần và trạng thái" năm hiện tại, tìm dòng lớp PM vừa tạo</t>
        </is>
      </c>
      <c r="E24" s="29" t="inlineStr">
        <is>
          <t>Dòng của lớp có 1 đề tài, 1 sinh viên, 1 đã nghiệm thu, 0 chờ duyệt (khớp dữ liệu TC-02 → TC-16)</t>
        </is>
      </c>
      <c r="F24" s="29" t="inlineStr">
        <is>
          <t>Máy cục bộ, newman 14/10/2026: 200; dòng PM-&lt;mã lần chạy&gt;: tong_de_tai 1, so_sinh_vien 1, da_nghiem_thu 1, cho_duyet 0</t>
        </is>
      </c>
      <c r="G24" s="29" t="inlineStr">
        <is>
          <t>Đạt</t>
        </is>
      </c>
      <c r="H24" s="29" t="inlineStr">
        <is>
          <t>Luồng TC-02 → TC-16 đã chạy</t>
        </is>
      </c>
      <c r="I24" s="29" t="inlineStr">
        <is>
          <t>GET /thong-ke/de-tai-theo-lop</t>
        </is>
      </c>
      <c r="J24" s="29" t="inlineStr">
        <is>
          <t>Web, 16/10/2026: 200; WEB-aebju0: tong_de_tai 1, so_sinh_vien 1, da_nghiem_thu 1, cho_duyet 0 – Đạt</t>
        </is>
      </c>
    </row>
    <row r="25">
      <c r="A25" s="29" t="inlineStr">
        <is>
          <t>TC-21</t>
        </is>
      </c>
      <c r="B25" s="29" t="inlineStr">
        <is>
          <t>Báo cáo và xuất dữ liệu</t>
        </is>
      </c>
      <c r="C25" s="29" t="inlineStr">
        <is>
          <t>Xuất CSV (F5.2)</t>
        </is>
      </c>
      <c r="D25" s="29" t="inlineStr">
        <is>
          <t>1. Bấm Xuất CSV báo cáo đề tài theo lớp
2. Đọc lại tệp, so với bảng JSON ở TC-20</t>
        </is>
      </c>
      <c r="E25" s="29" t="inlineStr">
        <is>
          <t>Tệp text/csv tải về (attachment), có BOM, dòng tiêu đề tiếng Việt; số dòng dữ liệu bằng số dòng JSON; dòng lớp PM có 1 đề tài</t>
        </is>
      </c>
      <c r="F25" s="29" t="inlineStr">
        <is>
          <t>Máy cục bộ, newman 14/10/2026: 200 text/csv, attachment, có BOM; tiêu đề "Mã lớp", …, "Tổng đề tài"; số dòng khớp JSON; cột Tổng đề tài của lớp PM = 1</t>
        </is>
      </c>
      <c r="G25" s="29" t="inlineStr">
        <is>
          <t>Đạt</t>
        </is>
      </c>
      <c r="H25" s="29" t="inlineStr">
        <is>
          <t>TC-20 đã chạy</t>
        </is>
      </c>
      <c r="I25" s="29" t="inlineStr">
        <is>
          <t>GET /thong-ke/de-tai-theo-lop/xuat?dinh_dang=csv</t>
        </is>
      </c>
      <c r="J25" s="29" t="inlineStr">
        <is>
          <t>Web, 16/10/2026: 200 text/csv, có BOM; 6 dòng = bảng JSON; dòng WEB-aebju0 Tổng đề tài 1 – Đạt</t>
        </is>
      </c>
    </row>
    <row r="26">
      <c r="A26" s="29" t="inlineStr">
        <is>
          <t>TC-22</t>
        </is>
      </c>
      <c r="B26" s="29" t="inlineStr">
        <is>
          <t>Báo cáo và xuất dữ liệu</t>
        </is>
      </c>
      <c r="C26" s="29" t="inlineStr">
        <is>
          <t>Tiến độ nộp theo mốc (F5.1)</t>
        </is>
      </c>
      <c r="D26" s="29" t="inlineStr">
        <is>
          <t>Thư ký mở báo cáo "Tiến độ nộp báo cáo theo mốc thời gian", tìm dòng mốc của lớp PM</t>
        </is>
      </c>
      <c r="E26" s="29" t="inlineStr">
        <is>
          <t>Cần nộp 1, đã nộp 1, đã duyệt 1, tỷ lệ nộp 100%</t>
        </is>
      </c>
      <c r="F26" s="29" t="inlineStr">
        <is>
          <t>Máy cục bộ, newman 14/10/2026: 200; so_de_tai_can_nop 1, so_de_tai_da_nop 1, da_duyet 1, ty_le_nop_pct 100</t>
        </is>
      </c>
      <c r="G26" s="29" t="inlineStr">
        <is>
          <t>Đạt</t>
        </is>
      </c>
      <c r="H26" s="29" t="inlineStr">
        <is>
          <t>Luồng TC-02 → TC-12 đã chạy</t>
        </is>
      </c>
      <c r="I26" s="29" t="inlineStr">
        <is>
          <t>GET /thong-ke/tien-do-nop</t>
        </is>
      </c>
      <c r="J26" s="29" t="inlineStr">
        <is>
          <t>Web, 16/10/2026: 200; can_nop 1, da_nop 1, da_duyet 1, ty_le 100% – Đạt</t>
        </is>
      </c>
    </row>
    <row r="27">
      <c r="A27" s="29" t="inlineStr">
        <is>
          <t>TC-23</t>
        </is>
      </c>
      <c r="B27" s="29" t="inlineStr">
        <is>
          <t>Ngoại lệ và biên</t>
        </is>
      </c>
      <c r="C27" s="29" t="inlineStr">
        <is>
          <t>Tra cứu công khai với ký tự đặc biệt (K10, BM1)</t>
        </is>
      </c>
      <c r="D27" s="29" t="inlineStr">
        <is>
          <t>Khách gọi danh sách đề tài công khai với từ khóa ' OR 1=1 -- và size=1000</t>
        </is>
      </c>
      <c r="E27" s="29" t="inlineStr">
        <is>
          <t>Mã 200, 0 kết quả (không trả toàn bộ đề tài); kích thước trang bị giới hạn 50</t>
        </is>
      </c>
      <c r="F27" s="29" t="inlineStr">
        <is>
          <t>Máy cục bộ, newman 14/10/2026: 200; total 0, items rỗng; size 50; tu_khoa trả lại nguyên chuỗi</t>
        </is>
      </c>
      <c r="G27" s="29" t="inlineStr">
        <is>
          <t>Đạt</t>
        </is>
      </c>
      <c r="H27" s="29" t="inlineStr">
        <is>
          <t>Không cần đăng nhập</t>
        </is>
      </c>
      <c r="I27" s="29" t="inlineStr">
        <is>
          <t>GET /public/de-tai?q=&amp;size=</t>
        </is>
      </c>
      <c r="J27" s="29" t="inlineStr">
        <is>
          <t>Web, 16/10/2026: 200; total 0, size 50 – Đạt</t>
        </is>
      </c>
    </row>
    <row r="28">
      <c r="A28" s="29" t="inlineStr">
        <is>
          <t>TC-24</t>
        </is>
      </c>
      <c r="B28" s="29" t="inlineStr">
        <is>
          <t>Phân quyền và bảo mật</t>
        </is>
      </c>
      <c r="C28" s="29" t="inlineStr">
        <is>
          <t>Gọi API sau khi đăng xuất (F1.2, BM7)</t>
        </is>
      </c>
      <c r="D28" s="29" t="inlineStr">
        <is>
          <t>1. Thư ký đăng xuất
2. Gọi danh sách đề tài bằng cookie cũ</t>
        </is>
      </c>
      <c r="E28" s="29" t="inlineStr">
        <is>
          <t>Đăng xuất 204; gọi lại 401 UNAUTHENTICATED</t>
        </is>
      </c>
      <c r="F28" s="29" t="inlineStr">
        <is>
          <t>Máy cục bộ, newman 14/10/2026: 204; 401 UNAUTHENTICATED</t>
        </is>
      </c>
      <c r="G28" s="29" t="inlineStr">
        <is>
          <t>Đạt</t>
        </is>
      </c>
      <c r="H28" s="29" t="inlineStr">
        <is>
          <t>Phiên thư ký hợp lệ</t>
        </is>
      </c>
      <c r="I28" s="29" t="inlineStr">
        <is>
          <t>POST /auth/dang-xuat, GET /de-tai</t>
        </is>
      </c>
      <c r="J28" s="29" t="inlineStr">
        <is>
          <t>Web, 16/10/2026: 204; 401 UNAUTHENTICATED – Đạt</t>
        </is>
      </c>
    </row>
    <row r="29">
      <c r="A29" s="29" t="inlineStr">
        <is>
          <t>TC-25</t>
        </is>
      </c>
      <c r="B29" s="29" t="inlineStr">
        <is>
          <t>Ngoại lệ và biên</t>
        </is>
      </c>
      <c r="C29" s="29" t="inlineStr">
        <is>
          <t>Đăng nhập sai liên tiếp (BM10)</t>
        </is>
      </c>
      <c r="D29" s="29" t="inlineStr">
        <is>
          <t>1. Thư ký đăng nhập để xem nhật ký
2. Nhập sai mật khẩu sv_tran_van_b 6 lần liên tiếp
3. Xem nhật ký hành động LOGIN_BLOCKED</t>
        </is>
      </c>
      <c r="E29" s="29" t="inlineStr">
        <is>
          <t>Lần 1 – 5: 401; từ lần thứ 6 trả mã 429 kèm Retry-After; nhật ký ghi nhận</t>
        </is>
      </c>
      <c r="F29" s="29" t="inlineStr">
        <is>
          <t>Máy cục bộ, newman 14/10/2026: 5 lần 401, lần 6: 429 TOO_MANY_ATTEMPTS, Retry-After &gt; 0; nhật ký có dòng LOGIN_BLOCKED của sv_tran_van_b</t>
        </is>
      </c>
      <c r="G29" s="29" t="inlineStr">
        <is>
          <t>Đạt</t>
        </is>
      </c>
      <c r="H29" s="29" t="inlineStr">
        <is>
          <t>Chưa có lần sai nào trong 15 phút gần nhất; chạy cuối cùng vì địa chỉ IP bị chặn 15 phút</t>
        </is>
      </c>
      <c r="I29" s="29" t="inlineStr">
        <is>
          <t>POST /auth/dang-nhap (6 lần), GET /nhat-ky-he-thong?hanh_dong=LOGIN_BLOCKED</t>
        </is>
      </c>
      <c r="J29" s="29" t="inlineStr">
        <is>
          <t>Web, 16/10/2026: lần 1 – 6: 401, 401, 401, 401, 401, 429; nhật ký có LOGIN_BLOCKED của sv_tran_van_b – Đạt</t>
        </is>
      </c>
    </row>
    <row r="31">
      <c r="D31" s="13" t="inlineStr">
        <is>
          <t>Tổng số ca đã có kết luận</t>
        </is>
      </c>
      <c r="E31" s="3">
        <f>COUNTIF(G5:G29,"Đạt")+COUNTIF(G5:G29,"Không đạt")</f>
        <v/>
      </c>
      <c r="F31" s="3" t="inlineStr">
        <is>
          <t>Yêu cầu tối thiểu 25 ca</t>
        </is>
      </c>
    </row>
    <row r="32">
      <c r="D32" s="13" t="inlineStr">
        <is>
          <t>Số ca đạt</t>
        </is>
      </c>
      <c r="E32" s="3">
        <f>COUNTIF(G5:G29,"Đạt")</f>
        <v/>
      </c>
    </row>
    <row r="33">
      <c r="D33" s="13" t="inlineStr">
        <is>
          <t>Tỷ lệ đạt</t>
        </is>
      </c>
      <c r="E33" s="31">
        <f>IFERROR(COUNTIF(G5:G29,"Đạt")/(COUNTIF(G5:G29,"Đạt")+COUNTIF(G5:G29,"Không đạt")),0)</f>
        <v/>
      </c>
    </row>
    <row r="35">
      <c r="D35" s="32" t="inlineStr">
        <is>
          <t>PHÂN BỐ THEO LOẠI CA</t>
        </is>
      </c>
      <c r="E35" s="32" t="inlineStr">
        <is>
          <t>Số ca</t>
        </is>
      </c>
      <c r="F35" s="32" t="inlineStr">
        <is>
          <t>Yêu cầu</t>
        </is>
      </c>
      <c r="G35" s="32" t="inlineStr">
        <is>
          <t>Đánh giá</t>
        </is>
      </c>
    </row>
    <row r="36">
      <c r="D36" s="33" t="inlineStr">
        <is>
          <t>Nghiệp vụ chính</t>
        </is>
      </c>
      <c r="E36" s="33">
        <f>COUNTIF(B5:B29,"Nghiệp vụ chính")</f>
        <v/>
      </c>
      <c r="F36" s="33" t="inlineStr">
        <is>
          <t>8 – 10</t>
        </is>
      </c>
      <c r="G36" s="33">
        <f>IF(AND(E36&gt;=8,E36&lt;=10),"Đạt","Chưa đạt")</f>
        <v/>
      </c>
    </row>
    <row r="37">
      <c r="D37" s="33" t="inlineStr">
        <is>
          <t>Ngoại lệ và biên</t>
        </is>
      </c>
      <c r="E37" s="33">
        <f>COUNTIF(B5:B29,"Ngoại lệ và biên")</f>
        <v/>
      </c>
      <c r="F37" s="33" t="inlineStr">
        <is>
          <t>5 – 6</t>
        </is>
      </c>
      <c r="G37" s="33">
        <f>IF(AND(E37&gt;=5,E37&lt;=6),"Đạt","Chưa đạt")</f>
        <v/>
      </c>
    </row>
    <row r="38">
      <c r="D38" s="33" t="inlineStr">
        <is>
          <t>Phân quyền và bảo mật</t>
        </is>
      </c>
      <c r="E38" s="33">
        <f>COUNTIF(B5:B29,"Phân quyền và bảo mật")</f>
        <v/>
      </c>
      <c r="F38" s="33" t="inlineStr">
        <is>
          <t>6 – 8</t>
        </is>
      </c>
      <c r="G38" s="33">
        <f>IF(AND(E38&gt;=6,E38&lt;=8),"Đạt","Chưa đạt")</f>
        <v/>
      </c>
    </row>
    <row r="39">
      <c r="D39" s="33" t="inlineStr">
        <is>
          <t>Báo cáo và xuất dữ liệu</t>
        </is>
      </c>
      <c r="E39" s="33">
        <f>COUNTIF(B5:B29,"Báo cáo và xuất dữ liệu")</f>
        <v/>
      </c>
      <c r="F39" s="33" t="inlineStr">
        <is>
          <t>3 – 4</t>
        </is>
      </c>
      <c r="G39" s="33">
        <f>IF(AND(E39&gt;=3,E39&lt;=4),"Đạt","Chưa đạt")</f>
        <v/>
      </c>
    </row>
  </sheetData>
  <mergeCells count="1"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TỔNG HỢP – cập nhật tự động theo ba bảng ca kiểm thử</t>
        </is>
      </c>
    </row>
    <row r="3">
      <c r="A3" s="19" t="inlineStr">
        <is>
          <t>Số chức năng trong ma trận</t>
        </is>
      </c>
      <c r="B3" s="20">
        <f>SUMPRODUCT(--(LEFT('Ma tran phan quyen'!A6:A52,1)="F"))</f>
        <v/>
      </c>
    </row>
    <row r="4">
      <c r="A4" s="19" t="inlineStr">
        <is>
          <t>Số ca kiểm thử phân quyền (BM5)</t>
        </is>
      </c>
      <c r="B4" s="20">
        <f>COUNTA('Ca kiem thu phan quyen'!A5:A37)</f>
        <v/>
      </c>
    </row>
    <row r="5">
      <c r="A5" s="19" t="inlineStr">
        <is>
          <t>Số ca truy cập chéo (BM4)</t>
        </is>
      </c>
      <c r="B5" s="20">
        <f>COUNTA('Ca truy cap cheo'!A5:A14)</f>
        <v/>
      </c>
    </row>
    <row r="6">
      <c r="A6" s="19" t="inlineStr">
        <is>
          <t>Tổng số ca</t>
        </is>
      </c>
      <c r="B6" s="20">
        <f>B4+B5+COUNTA('Ca kiem thu nghiep vu B5'!A3:A34)+COUNTA('Ca kiem thu Buoi 6'!A3:A23)+COUNTA('Ca kiem thu Buoi 7'!A3:A21)+COUNTA('Ca kiem thu Buoi 8'!A3:A23)</f>
        <v/>
      </c>
    </row>
    <row r="7">
      <c r="A7" s="19" t="inlineStr">
        <is>
          <t>Số ca đã chạy</t>
        </is>
      </c>
      <c r="B7" s="20">
        <f>COUNTIF('Ca kiem thu phan quyen'!G5:G37,"&lt;&gt;Chưa chạy")+COUNTIF('Ca truy cap cheo'!E5:E14,"&lt;&gt;Chưa chạy")+COUNTIF('Ca kiem thu nghiep vu B5'!G3:G34,"&lt;&gt;Chưa chạy")+COUNTIF('Ca kiem thu Buoi 6'!G3:G23,"&lt;&gt;Chưa chạy")+COUNTIF('Ca kiem thu Buoi 7'!G3:G21,"&lt;&gt;Chưa chạy")+COUNTIF('Ca kiem thu Buoi 8'!G3:G23,"&lt;&gt;Chưa chạy*")</f>
        <v/>
      </c>
    </row>
    <row r="8">
      <c r="A8" s="19" t="inlineStr">
        <is>
          <t>Số ca Đạt</t>
        </is>
      </c>
      <c r="B8" s="20">
        <f>COUNTIF('Ca kiem thu phan quyen'!H5:H37,"Đạt")+COUNTIF('Ca truy cap cheo'!F5:F14,"Đạt")+COUNTIF('Ca kiem thu nghiep vu B5'!H3:H34,"Đạt")+COUNTIF('Ca kiem thu Buoi 6'!H3:H23,"Đạt")+COUNTIF('Ca kiem thu Buoi 7'!H3:H21,"Đạt")+COUNTIF('Ca kiem thu Buoi 8'!H3:H23,"Đạt")</f>
        <v/>
      </c>
    </row>
    <row r="9">
      <c r="A9" s="19" t="inlineStr">
        <is>
          <t>Tỷ lệ đạt</t>
        </is>
      </c>
      <c r="B9" s="21">
        <f>IFERROR(B8/B7,0)</f>
        <v/>
      </c>
    </row>
    <row r="10">
      <c r="A10" s="19" t="inlineStr">
        <is>
          <t>Số ca nghiệp vụ Buổi 5 (hai luồng và thao tác dữ liệu)</t>
        </is>
      </c>
      <c r="B10" s="20">
        <f>COUNTA('Ca kiem thu nghiep vu B5'!A3:A34)</f>
        <v/>
      </c>
    </row>
    <row r="11">
      <c r="A11" s="19" t="inlineStr">
        <is>
          <t>Số ca Buổi 6 (đồng thời, bất biến, lịch sử, luồng 3)</t>
        </is>
      </c>
      <c r="B11" s="20">
        <f>COUNTA('Ca kiem thu Buoi 6'!A3:A23)</f>
        <v/>
      </c>
    </row>
    <row r="12">
      <c r="A12" s="19" t="inlineStr">
        <is>
          <t>Số ca Buổi 7 (nhật ký đăng nhập, tải tệp, báo cáo thống kê)</t>
        </is>
      </c>
      <c r="B12" s="20">
        <f>COUNTA('Ca kiem thu Buoi 7'!A3:A21)</f>
        <v/>
      </c>
    </row>
    <row r="13">
      <c r="A13" s="19" t="inlineStr">
        <is>
          <t>Số ca Buổi 8 (bảo mật BM1 – BM12, K1, K8, K9)</t>
        </is>
      </c>
      <c r="B13" s="20">
        <f>COUNTA('Ca kiem thu Buoi 8'!A3:A23)</f>
        <v/>
      </c>
    </row>
    <row r="14">
      <c r="A14" s="19" t="inlineStr">
        <is>
          <t>Bộ 25 ca bắt buộc Buổi 9 – số ca</t>
        </is>
      </c>
      <c r="B14" s="34">
        <f>COUNTA('Bo 25 ca kiem thu'!A5:A29)</f>
        <v/>
      </c>
    </row>
    <row r="15">
      <c r="A15" s="19" t="inlineStr">
        <is>
          <t>Bộ 25 ca bắt buộc Buổi 9 – số ca Đạt</t>
        </is>
      </c>
      <c r="B15" s="34">
        <f>COUNTIF('Bo 25 ca kiem thu'!G5:G29,"Đạt")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46" customWidth="1" min="3" max="3"/>
    <col width="26" customWidth="1" min="4" max="4"/>
    <col width="30" customWidth="1" min="5" max="5"/>
    <col width="12" customWidth="1" min="6" max="6"/>
  </cols>
  <sheetData>
    <row r="1">
      <c r="A1" s="1" t="inlineStr">
        <is>
          <t>KẾT QUẢ KIỂM THỬ CƠ SỞ DỮ LIỆU – BUỔI 3</t>
        </is>
      </c>
    </row>
    <row r="2">
      <c r="A2" s="2" t="n"/>
    </row>
    <row r="4">
      <c r="A4" s="4" t="inlineStr">
        <is>
          <t>STT</t>
        </is>
      </c>
      <c r="B4" s="4" t="inlineStr">
        <is>
          <t>Phép thử</t>
        </is>
      </c>
      <c r="C4" s="4" t="inlineStr">
        <is>
          <t>Cách thực hiện</t>
        </is>
      </c>
      <c r="D4" s="4" t="inlineStr">
        <is>
          <t>Kết quả mong đợi</t>
        </is>
      </c>
      <c r="E4" s="4" t="inlineStr">
        <is>
          <t>Kết quả thực tế</t>
        </is>
      </c>
      <c r="F4" s="4" t="inlineStr">
        <is>
          <t>KL</t>
        </is>
      </c>
    </row>
    <row r="5">
      <c r="A5" s="6" t="n">
        <v>1</v>
      </c>
      <c r="B5" s="6" t="inlineStr">
        <is>
          <t>Nạp lược đồ vào CSDL rỗng</t>
        </is>
      </c>
      <c r="C5" s="6" t="inlineStr">
        <is>
          <t>Tạo CSDL rỗng utf8mb4, nạp test.sql bằng dòng lệnh</t>
        </is>
      </c>
      <c r="D5" s="6" t="inlineStr">
        <is>
          <t>Tạo đủ bảng, không lỗi</t>
        </is>
      </c>
      <c r="E5" s="6" t="inlineStr">
        <is>
          <t>Tạo 11 bảng, không lỗi</t>
        </is>
      </c>
      <c r="F5" s="22" t="inlineStr">
        <is>
          <t>Đạt</t>
        </is>
      </c>
    </row>
    <row r="6">
      <c r="A6" s="6" t="n">
        <v>2</v>
      </c>
      <c r="B6" s="6" t="inlineStr">
        <is>
          <t>Chạy lại kịch bản lần hai</t>
        </is>
      </c>
      <c r="C6" s="6" t="inlineStr">
        <is>
          <t>Nạp lại test.sql đè lên CSDL đã có dữ liệu</t>
        </is>
      </c>
      <c r="D6" s="6" t="inlineStr">
        <is>
          <t>Không lỗi, dữ liệu trở về trạng thái đầu</t>
        </is>
      </c>
      <c r="E6" s="6" t="inlineStr">
        <is>
          <t>Không lỗi</t>
        </is>
      </c>
      <c r="F6" s="22" t="inlineStr">
        <is>
          <t>Đạt</t>
        </is>
      </c>
    </row>
    <row r="7">
      <c r="A7" s="6" t="n">
        <v>3</v>
      </c>
      <c r="B7" s="6" t="inlineStr">
        <is>
          <t>Hiển thị tiếng Việt</t>
        </is>
      </c>
      <c r="C7" s="6" t="inlineStr">
        <is>
          <t>SELECT ho_ten FROM nguoi_dung; SELECT ten_moc FROM moc_thoi_gian</t>
        </is>
      </c>
      <c r="D7" s="6" t="inlineStr">
        <is>
          <t>Hiển thị đúng dấu</t>
        </is>
      </c>
      <c r="E7" s="6" t="inlineStr">
        <is>
          <t>Đúng dấu, không lỗi phông</t>
        </is>
      </c>
      <c r="F7" s="22" t="inlineStr">
        <is>
          <t>Đạt</t>
        </is>
      </c>
    </row>
    <row r="8">
      <c r="A8" s="6" t="n">
        <v>4</v>
      </c>
      <c r="B8" s="6" t="inlineStr">
        <is>
          <t>Toàn vẹn khóa ngoại</t>
        </is>
      </c>
      <c r="C8" s="6" t="inlineStr">
        <is>
          <t>5 truy vấn LEFT JOIN tìm bản ghi mồ côi</t>
        </is>
      </c>
      <c r="D8" s="6" t="inlineStr">
        <is>
          <t>Kết quả rỗng (bằng 0)</t>
        </is>
      </c>
      <c r="E8" s="6" t="inlineStr">
        <is>
          <t>Cả 5 truy vấn đều bằng 0</t>
        </is>
      </c>
      <c r="F8" s="22" t="inlineStr">
        <is>
          <t>Đạt</t>
        </is>
      </c>
    </row>
    <row r="9">
      <c r="A9" s="6" t="n">
        <v>5</v>
      </c>
      <c r="B9" s="6" t="inlineStr">
        <is>
          <t>Chặn điểm ngoài thang 0 – 10 (UC06)</t>
        </is>
      </c>
      <c r="C9" s="6" t="inlineStr">
        <is>
          <t>INSERT INTO diem_nghiem_thu ... diem = 99</t>
        </is>
      </c>
      <c r="D9" s="6" t="inlineStr">
        <is>
          <t>Bị từ chối</t>
        </is>
      </c>
      <c r="E9" s="6" t="inlineStr">
        <is>
          <t>Lưu thành công điểm 99.00</t>
        </is>
      </c>
      <c r="F9" s="23" t="inlineStr">
        <is>
          <t>Không đạt</t>
        </is>
      </c>
    </row>
    <row r="10">
      <c r="A10" s="6" t="n">
        <v>6</v>
      </c>
      <c r="B10" s="6" t="inlineStr">
        <is>
          <t>Chặn giá trị trạng thái không hợp lệ</t>
        </is>
      </c>
      <c r="C10" s="6" t="inlineStr">
        <is>
          <t>UPDATE de_tai SET trang_thai = 'linh tinh'</t>
        </is>
      </c>
      <c r="D10" s="6" t="inlineStr">
        <is>
          <t>Bị từ chối</t>
        </is>
      </c>
      <c r="E10" s="6" t="inlineStr">
        <is>
          <t>Lưu thành công</t>
        </is>
      </c>
      <c r="F10" s="23" t="inlineStr">
        <is>
          <t>Không đạt</t>
        </is>
      </c>
    </row>
    <row r="11">
      <c r="A11" s="6" t="n">
        <v>7</v>
      </c>
      <c r="B11" s="6" t="inlineStr">
        <is>
          <t>Chặn gán GVHD cho người không phải giảng viên</t>
        </is>
      </c>
      <c r="C11" s="6" t="inlineStr">
        <is>
          <t>UPDATE de_tai SET gvhd_id = &lt;id sinh viên&gt;</t>
        </is>
      </c>
      <c r="D11" s="6" t="inlineStr">
        <is>
          <t>Bị từ chối</t>
        </is>
      </c>
      <c r="E11" s="6" t="inlineStr">
        <is>
          <t>Lưu thành công</t>
        </is>
      </c>
      <c r="F11" s="23" t="inlineStr">
        <is>
          <t>Không đạt</t>
        </is>
      </c>
    </row>
    <row r="13">
      <c r="B13" s="24" t="n"/>
    </row>
    <row r="14">
      <c r="B14" s="25" t="n"/>
    </row>
    <row r="15">
      <c r="B15" s="25" t="n"/>
    </row>
    <row r="16">
      <c r="B16" s="25" t="n"/>
    </row>
    <row r="17">
      <c r="B17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Nguyễn Minh Hải</dc:creator>
  <dcterms:created xmlns:dcterms="http://purl.org/dc/terms/" xmlns:xsi="http://www.w3.org/2001/XMLSchema-instance" xsi:type="dcterms:W3CDTF">2026-09-23T15:01:56Z</dcterms:created>
  <dcterms:modified xmlns:dcterms="http://purl.org/dc/terms/" xmlns:xsi="http://www.w3.org/2001/XMLSchema-instance" xsi:type="dcterms:W3CDTF">2026-10-16T03:18:33Z</dcterms:modified>
  <cp:lastModifiedBy>Nguyễn Minh Hải</cp:lastModifiedBy>
</cp:coreProperties>
</file>